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cemba\Downloads\"/>
    </mc:Choice>
  </mc:AlternateContent>
  <xr:revisionPtr revIDLastSave="0" documentId="13_ncr:1_{6047BBBB-5AC9-4E1C-B030-F5D9CEB033D4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Veri Girişi" sheetId="1" r:id="rId1"/>
    <sheet name="Özet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8" i="2" l="1"/>
  <c r="D8" i="2"/>
  <c r="C8" i="2"/>
  <c r="B8" i="2"/>
  <c r="E6" i="2"/>
  <c r="D6" i="2"/>
  <c r="C6" i="2"/>
  <c r="B6" i="2"/>
  <c r="E5" i="2"/>
  <c r="D5" i="2"/>
  <c r="C5" i="2"/>
  <c r="B5" i="2"/>
  <c r="E4" i="2"/>
  <c r="D4" i="2"/>
  <c r="C4" i="2"/>
  <c r="B4" i="2"/>
  <c r="E3" i="2"/>
  <c r="D3" i="2"/>
  <c r="C3" i="2"/>
  <c r="B3" i="2"/>
</calcChain>
</file>

<file path=xl/sharedStrings.xml><?xml version="1.0" encoding="utf-8"?>
<sst xmlns="http://schemas.openxmlformats.org/spreadsheetml/2006/main" count="883" uniqueCount="64">
  <si>
    <t>Kumaş Test Veri Toplama Şablonu</t>
  </si>
  <si>
    <t>UserID / Name</t>
  </si>
  <si>
    <t>Mode 2</t>
  </si>
  <si>
    <t>Mode 4</t>
  </si>
  <si>
    <t>Mode 6</t>
  </si>
  <si>
    <t>Mode 8</t>
  </si>
  <si>
    <t>İpek</t>
  </si>
  <si>
    <t>Pamuk</t>
  </si>
  <si>
    <t>Yün</t>
  </si>
  <si>
    <t>Kot</t>
  </si>
  <si>
    <t>User1 - 22 - E</t>
  </si>
  <si>
    <t>✓</t>
  </si>
  <si>
    <t>User2 - 21 - E</t>
  </si>
  <si>
    <t>User3 - 25 - E</t>
  </si>
  <si>
    <t xml:space="preserve">User4 - 23  E </t>
  </si>
  <si>
    <t>User5 - 21 - E</t>
  </si>
  <si>
    <t>User6 - 24 - E</t>
  </si>
  <si>
    <t>User7 - 25 -  E</t>
  </si>
  <si>
    <t>User8 - 22 - E</t>
  </si>
  <si>
    <t>User9 - 30 - E</t>
  </si>
  <si>
    <t>User10 - 19 - K</t>
  </si>
  <si>
    <t>User11 - 18 - K</t>
  </si>
  <si>
    <t>User12 - 20 - K</t>
  </si>
  <si>
    <t>User13 - 20 -K</t>
  </si>
  <si>
    <t>User14 - 21 -K</t>
  </si>
  <si>
    <t>User15 - 20 - K</t>
  </si>
  <si>
    <t>User16 -23 - K</t>
  </si>
  <si>
    <t>User17 -22 - E</t>
  </si>
  <si>
    <t>User18 - 23 - K</t>
  </si>
  <si>
    <t>User19 - 21 - K</t>
  </si>
  <si>
    <t>User20 - 22 - K</t>
  </si>
  <si>
    <t>User21 - 48 - K</t>
  </si>
  <si>
    <t>User22 - 22 -E</t>
  </si>
  <si>
    <t>User23 - 43 - K</t>
  </si>
  <si>
    <t>User24 - 21 - E</t>
  </si>
  <si>
    <t>User25 - 21 - E</t>
  </si>
  <si>
    <t>User26 - 22 - E</t>
  </si>
  <si>
    <t>User27 - 22 - K</t>
  </si>
  <si>
    <t>User28 - 30 - E</t>
  </si>
  <si>
    <t>User29 - 45 - E</t>
  </si>
  <si>
    <t>User30 - 50 - K</t>
  </si>
  <si>
    <t>User31 - 41 - K</t>
  </si>
  <si>
    <t>User32 - 20 - K</t>
  </si>
  <si>
    <t>User33 - 21 - K</t>
  </si>
  <si>
    <t>User34 - 21 - K</t>
  </si>
  <si>
    <t>User35 - 20 - K</t>
  </si>
  <si>
    <t>User36 - 20 - K</t>
  </si>
  <si>
    <t>User37 - 23 - K</t>
  </si>
  <si>
    <t>User38 - 19 - K</t>
  </si>
  <si>
    <t>User39 - 19 - K</t>
  </si>
  <si>
    <t>User40 - 20 - K</t>
  </si>
  <si>
    <t>User41 - 24 - E</t>
  </si>
  <si>
    <t>User42 - 27 - K</t>
  </si>
  <si>
    <t>User43 - 22 - E</t>
  </si>
  <si>
    <t>User45 - 19 - K</t>
  </si>
  <si>
    <t>User48 - 21 - E</t>
  </si>
  <si>
    <t>User49 - 28 - K</t>
  </si>
  <si>
    <t>Doğruluk Özeti</t>
  </si>
  <si>
    <t>Mode</t>
  </si>
  <si>
    <t>Genel Doğruluk</t>
  </si>
  <si>
    <t>User50 - 22 - E</t>
  </si>
  <si>
    <t>User47 - 24 - K</t>
  </si>
  <si>
    <t>User46 - 22 - E</t>
  </si>
  <si>
    <t>User44 - 27 - 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</si>
</sst>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5" x14ac:knownFonts="1">
    <font>
      <sz val="11"/>
      <color theme="1"/>
      <name val="Calibri"/>
      <family val="2"/>
      <scheme val="minor"/>
    </font>
    <font>
      <b/>
      <sz val="16"/>
      <color rgb="FFFFFFFF"/>
      <name val="Calibri"/>
    </font>
    <font>
      <b/>
      <sz val="11"/>
      <color rgb="FFFFFFFF"/>
      <name val="Calibri"/>
    </font>
    <font>
      <b/>
      <sz val="11"/>
      <name val="Calibri"/>
    </font>
    <font>
      <b/>
      <sz val="15"/>
      <color rgb="FFFFFFFF"/>
      <name val="Calibri"/>
    </font>
  </fonts>
  <fills count="12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FFFFFF"/>
      </patternFill>
    </fill>
    <fill>
      <patternFill patternType="solid">
        <fgColor rgb="FFBFD7EA"/>
      </patternFill>
    </fill>
    <fill>
      <patternFill patternType="solid">
        <fgColor rgb="FFF8FBFD"/>
      </patternFill>
    </fill>
    <fill>
      <patternFill patternType="solid">
        <fgColor rgb="FFFAFCFE"/>
      </patternFill>
    </fill>
    <fill>
      <patternFill patternType="solid">
        <fgColor rgb="FFD9EAF7"/>
      </patternFill>
    </fill>
    <fill>
      <patternFill patternType="solid">
        <fgColor rgb="FF4F81BD"/>
      </patternFill>
    </fill>
    <fill>
      <patternFill patternType="solid">
        <fgColor rgb="FFDCE6F1"/>
      </patternFill>
    </fill>
    <fill>
      <patternFill patternType="solid">
        <fgColor rgb="FFE7E6E6"/>
      </patternFill>
    </fill>
    <fill>
      <patternFill patternType="solid">
        <fgColor rgb="FFFAFAFA"/>
      </patternFill>
    </fill>
  </fills>
  <borders count="29">
    <border>
      <left/>
      <right/>
      <top/>
      <bottom/>
      <diagonal/>
    </border>
    <border>
      <left style="medium">
        <color rgb="FF7F7F7F"/>
      </left>
      <right style="medium">
        <color rgb="FF7F7F7F"/>
      </right>
      <top style="medium">
        <color rgb="FF7F7F7F"/>
      </top>
      <bottom style="medium">
        <color rgb="FF7F7F7F"/>
      </bottom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/>
      <right/>
      <top style="medium">
        <color rgb="FF7F7F7F"/>
      </top>
      <bottom style="medium">
        <color rgb="FF7F7F7F"/>
      </bottom>
      <diagonal/>
    </border>
    <border>
      <left/>
      <right style="medium">
        <color rgb="FF7F7F7F"/>
      </right>
      <top style="medium">
        <color rgb="FF7F7F7F"/>
      </top>
      <bottom style="medium">
        <color rgb="FF7F7F7F"/>
      </bottom>
      <diagonal/>
    </border>
    <border>
      <left style="thin">
        <color rgb="FFB7B7B7"/>
      </left>
      <right style="thin">
        <color rgb="FFB7B7B7"/>
      </right>
      <top/>
      <bottom style="thin">
        <color rgb="FFB7B7B7"/>
      </bottom>
      <diagonal/>
    </border>
    <border>
      <left/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B7B7B7"/>
      </left>
      <right style="thin">
        <color rgb="FFB7B7B7"/>
      </right>
      <top style="thin">
        <color rgb="FFB7B7B7"/>
      </top>
      <bottom/>
      <diagonal/>
    </border>
    <border>
      <left style="medium">
        <color indexed="64"/>
      </left>
      <right style="thin">
        <color rgb="FFB7B7B7"/>
      </right>
      <top style="medium">
        <color indexed="64"/>
      </top>
      <bottom style="thin">
        <color rgb="FFB7B7B7"/>
      </bottom>
      <diagonal/>
    </border>
    <border>
      <left style="thin">
        <color rgb="FFB7B7B7"/>
      </left>
      <right style="thin">
        <color rgb="FFB7B7B7"/>
      </right>
      <top style="medium">
        <color indexed="64"/>
      </top>
      <bottom style="thin">
        <color rgb="FFB7B7B7"/>
      </bottom>
      <diagonal/>
    </border>
    <border>
      <left style="thin">
        <color rgb="FFB7B7B7"/>
      </left>
      <right style="medium">
        <color indexed="64"/>
      </right>
      <top style="medium">
        <color indexed="64"/>
      </top>
      <bottom style="thin">
        <color rgb="FFB7B7B7"/>
      </bottom>
      <diagonal/>
    </border>
    <border>
      <left style="medium">
        <color indexed="64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B7B7B7"/>
      </left>
      <right style="medium">
        <color indexed="64"/>
      </right>
      <top style="thin">
        <color rgb="FFB7B7B7"/>
      </top>
      <bottom style="thin">
        <color rgb="FFB7B7B7"/>
      </bottom>
      <diagonal/>
    </border>
    <border>
      <left style="medium">
        <color indexed="64"/>
      </left>
      <right style="thin">
        <color rgb="FFB7B7B7"/>
      </right>
      <top style="thin">
        <color rgb="FFB7B7B7"/>
      </top>
      <bottom style="medium">
        <color indexed="64"/>
      </bottom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medium">
        <color indexed="64"/>
      </bottom>
      <diagonal/>
    </border>
    <border>
      <left style="thin">
        <color rgb="FFB7B7B7"/>
      </left>
      <right style="medium">
        <color indexed="64"/>
      </right>
      <top style="thin">
        <color rgb="FFB7B7B7"/>
      </top>
      <bottom style="medium">
        <color indexed="64"/>
      </bottom>
      <diagonal/>
    </border>
    <border>
      <left/>
      <right style="thin">
        <color rgb="FFB7B7B7"/>
      </right>
      <top style="medium">
        <color indexed="64"/>
      </top>
      <bottom style="thin">
        <color rgb="FFB7B7B7"/>
      </bottom>
      <diagonal/>
    </border>
    <border>
      <left/>
      <right style="thin">
        <color rgb="FFB7B7B7"/>
      </right>
      <top style="thin">
        <color rgb="FFB7B7B7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rgb="FFB7B7B7"/>
      </bottom>
      <diagonal/>
    </border>
    <border>
      <left style="medium">
        <color indexed="64"/>
      </left>
      <right style="medium">
        <color indexed="64"/>
      </right>
      <top style="thin">
        <color rgb="FFB7B7B7"/>
      </top>
      <bottom style="thin">
        <color rgb="FFB7B7B7"/>
      </bottom>
      <diagonal/>
    </border>
    <border>
      <left style="medium">
        <color indexed="64"/>
      </left>
      <right style="medium">
        <color indexed="64"/>
      </right>
      <top style="thin">
        <color rgb="FFB7B7B7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rgb="FFB7B7B7"/>
      </bottom>
      <diagonal/>
    </border>
    <border>
      <left style="medium">
        <color indexed="64"/>
      </left>
      <right/>
      <top style="thin">
        <color rgb="FFB7B7B7"/>
      </top>
      <bottom style="thin">
        <color rgb="FFB7B7B7"/>
      </bottom>
      <diagonal/>
    </border>
    <border>
      <left style="medium">
        <color indexed="64"/>
      </left>
      <right/>
      <top style="thin">
        <color rgb="FFB7B7B7"/>
      </top>
      <bottom style="medium">
        <color indexed="64"/>
      </bottom>
      <diagonal/>
    </border>
    <border>
      <left style="thin">
        <color rgb="FFB7B7B7"/>
      </left>
      <right/>
      <top style="thin">
        <color rgb="FFB7B7B7"/>
      </top>
      <bottom style="thin">
        <color rgb="FFB7B7B7"/>
      </bottom>
      <diagonal/>
    </border>
    <border>
      <left style="medium">
        <color indexed="64"/>
      </left>
      <right style="thin">
        <color rgb="FFB7B7B7"/>
      </right>
      <top style="medium">
        <color indexed="64"/>
      </top>
      <bottom style="medium">
        <color indexed="64"/>
      </bottom>
      <diagonal/>
    </border>
    <border>
      <left style="thin">
        <color rgb="FFB7B7B7"/>
      </left>
      <right style="thin">
        <color rgb="FFB7B7B7"/>
      </right>
      <top style="medium">
        <color indexed="64"/>
      </top>
      <bottom style="medium">
        <color indexed="64"/>
      </bottom>
      <diagonal/>
    </border>
    <border>
      <left style="thin">
        <color rgb="FFB7B7B7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7F7F7F"/>
      </left>
      <right style="medium">
        <color rgb="FF7F7F7F"/>
      </right>
      <top/>
      <bottom style="medium">
        <color rgb="FF7F7F7F"/>
      </bottom>
      <diagonal/>
    </border>
  </borders>
  <cellStyleXfs count="1">
    <xf numFmtId="0" fontId="0" fillId="0" borderId="0"/>
  </cellStyleXfs>
  <cellXfs count="55">
    <xf numFmtId="0" fontId="0" fillId="0" borderId="0" xfId="0"/>
    <xf numFmtId="0" fontId="0" fillId="5" borderId="2" xfId="0" applyFill="1" applyBorder="1" applyAlignment="1">
      <alignment horizontal="left" vertical="center"/>
    </xf>
    <xf numFmtId="0" fontId="0" fillId="3" borderId="2" xfId="0" applyFill="1" applyBorder="1" applyAlignment="1">
      <alignment horizontal="center" vertical="center"/>
    </xf>
    <xf numFmtId="0" fontId="0" fillId="6" borderId="2" xfId="0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/>
    </xf>
    <xf numFmtId="0" fontId="3" fillId="7" borderId="2" xfId="0" applyFont="1" applyFill="1" applyBorder="1" applyAlignment="1">
      <alignment horizontal="center"/>
    </xf>
    <xf numFmtId="164" fontId="0" fillId="11" borderId="2" xfId="0" applyNumberFormat="1" applyFill="1" applyBorder="1" applyAlignment="1">
      <alignment horizontal="center"/>
    </xf>
    <xf numFmtId="0" fontId="0" fillId="0" borderId="2" xfId="0" applyBorder="1"/>
    <xf numFmtId="0" fontId="2" fillId="8" borderId="2" xfId="0" applyFont="1" applyFill="1" applyBorder="1" applyAlignment="1">
      <alignment horizontal="center"/>
    </xf>
    <xf numFmtId="164" fontId="0" fillId="9" borderId="2" xfId="0" applyNumberFormat="1" applyFill="1" applyBorder="1" applyAlignment="1">
      <alignment horizontal="center"/>
    </xf>
    <xf numFmtId="0" fontId="3" fillId="10" borderId="2" xfId="0" applyFont="1" applyFill="1" applyBorder="1"/>
    <xf numFmtId="0" fontId="0" fillId="0" borderId="2" xfId="0" applyBorder="1" applyAlignment="1">
      <alignment wrapText="1"/>
    </xf>
    <xf numFmtId="0" fontId="0" fillId="6" borderId="5" xfId="0" applyFill="1" applyBorder="1" applyAlignment="1">
      <alignment horizontal="center" vertical="center"/>
    </xf>
    <xf numFmtId="0" fontId="3" fillId="4" borderId="7" xfId="0" applyFont="1" applyFill="1" applyBorder="1" applyAlignment="1">
      <alignment horizontal="center" vertical="center"/>
    </xf>
    <xf numFmtId="0" fontId="0" fillId="6" borderId="8" xfId="0" applyFill="1" applyBorder="1" applyAlignment="1">
      <alignment horizontal="center" vertical="center"/>
    </xf>
    <xf numFmtId="0" fontId="0" fillId="6" borderId="9" xfId="0" applyFill="1" applyBorder="1" applyAlignment="1">
      <alignment horizontal="center" vertical="center"/>
    </xf>
    <xf numFmtId="0" fontId="0" fillId="6" borderId="10" xfId="0" applyFill="1" applyBorder="1" applyAlignment="1">
      <alignment horizontal="center" vertical="center"/>
    </xf>
    <xf numFmtId="0" fontId="0" fillId="6" borderId="11" xfId="0" applyFill="1" applyBorder="1" applyAlignment="1">
      <alignment horizontal="center" vertical="center"/>
    </xf>
    <xf numFmtId="0" fontId="0" fillId="6" borderId="12" xfId="0" applyFill="1" applyBorder="1" applyAlignment="1">
      <alignment horizontal="center" vertical="center"/>
    </xf>
    <xf numFmtId="0" fontId="0" fillId="6" borderId="13" xfId="0" applyFill="1" applyBorder="1" applyAlignment="1">
      <alignment horizontal="center" vertical="center"/>
    </xf>
    <xf numFmtId="0" fontId="0" fillId="6" borderId="14" xfId="0" applyFill="1" applyBorder="1" applyAlignment="1">
      <alignment horizontal="center" vertical="center"/>
    </xf>
    <xf numFmtId="0" fontId="0" fillId="6" borderId="15" xfId="0" applyFill="1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0" fontId="0" fillId="3" borderId="8" xfId="0" applyFill="1" applyBorder="1" applyAlignment="1">
      <alignment horizontal="center" vertical="center"/>
    </xf>
    <xf numFmtId="0" fontId="0" fillId="3" borderId="9" xfId="0" applyFill="1" applyBorder="1" applyAlignment="1">
      <alignment horizontal="center" vertical="center"/>
    </xf>
    <xf numFmtId="0" fontId="0" fillId="3" borderId="10" xfId="0" applyFill="1" applyBorder="1" applyAlignment="1">
      <alignment horizontal="center" vertical="center"/>
    </xf>
    <xf numFmtId="0" fontId="0" fillId="3" borderId="11" xfId="0" applyFill="1" applyBorder="1" applyAlignment="1">
      <alignment horizontal="center" vertical="center"/>
    </xf>
    <xf numFmtId="0" fontId="0" fillId="3" borderId="12" xfId="0" applyFill="1" applyBorder="1" applyAlignment="1">
      <alignment horizontal="center" vertical="center"/>
    </xf>
    <xf numFmtId="0" fontId="0" fillId="3" borderId="13" xfId="0" applyFill="1" applyBorder="1" applyAlignment="1">
      <alignment horizontal="center" vertical="center"/>
    </xf>
    <xf numFmtId="0" fontId="0" fillId="3" borderId="14" xfId="0" applyFill="1" applyBorder="1" applyAlignment="1">
      <alignment horizontal="center" vertical="center"/>
    </xf>
    <xf numFmtId="0" fontId="0" fillId="3" borderId="15" xfId="0" applyFill="1" applyBorder="1" applyAlignment="1">
      <alignment horizontal="center" vertical="center"/>
    </xf>
    <xf numFmtId="0" fontId="0" fillId="6" borderId="6" xfId="0" applyFill="1" applyBorder="1" applyAlignment="1">
      <alignment horizontal="center" vertical="center"/>
    </xf>
    <xf numFmtId="0" fontId="0" fillId="6" borderId="16" xfId="0" applyFill="1" applyBorder="1" applyAlignment="1">
      <alignment horizontal="center" vertical="center"/>
    </xf>
    <xf numFmtId="0" fontId="0" fillId="6" borderId="17" xfId="0" applyFill="1" applyBorder="1" applyAlignment="1">
      <alignment horizontal="center" vertical="center"/>
    </xf>
    <xf numFmtId="0" fontId="0" fillId="5" borderId="18" xfId="0" applyFill="1" applyBorder="1" applyAlignment="1">
      <alignment horizontal="left" vertical="center"/>
    </xf>
    <xf numFmtId="0" fontId="0" fillId="5" borderId="19" xfId="0" applyFill="1" applyBorder="1" applyAlignment="1">
      <alignment horizontal="left" vertical="center"/>
    </xf>
    <xf numFmtId="0" fontId="0" fillId="5" borderId="20" xfId="0" applyFill="1" applyBorder="1" applyAlignment="1">
      <alignment horizontal="left" vertical="center"/>
    </xf>
    <xf numFmtId="0" fontId="0" fillId="5" borderId="5" xfId="0" applyFill="1" applyBorder="1" applyAlignment="1">
      <alignment horizontal="left" vertical="center"/>
    </xf>
    <xf numFmtId="0" fontId="0" fillId="5" borderId="21" xfId="0" applyFill="1" applyBorder="1" applyAlignment="1">
      <alignment horizontal="left" vertical="center"/>
    </xf>
    <xf numFmtId="0" fontId="0" fillId="5" borderId="22" xfId="0" applyFill="1" applyBorder="1" applyAlignment="1">
      <alignment horizontal="left" vertical="center"/>
    </xf>
    <xf numFmtId="0" fontId="0" fillId="5" borderId="23" xfId="0" applyFill="1" applyBorder="1" applyAlignment="1">
      <alignment horizontal="left" vertical="center"/>
    </xf>
    <xf numFmtId="0" fontId="3" fillId="7" borderId="24" xfId="0" applyFont="1" applyFill="1" applyBorder="1" applyAlignment="1">
      <alignment horizontal="center"/>
    </xf>
    <xf numFmtId="164" fontId="0" fillId="11" borderId="7" xfId="0" applyNumberFormat="1" applyFill="1" applyBorder="1" applyAlignment="1">
      <alignment horizontal="center"/>
    </xf>
    <xf numFmtId="164" fontId="0" fillId="11" borderId="5" xfId="0" applyNumberFormat="1" applyFill="1" applyBorder="1" applyAlignment="1">
      <alignment horizontal="center"/>
    </xf>
    <xf numFmtId="164" fontId="0" fillId="11" borderId="25" xfId="0" applyNumberFormat="1" applyFill="1" applyBorder="1" applyAlignment="1">
      <alignment horizontal="center"/>
    </xf>
    <xf numFmtId="164" fontId="0" fillId="11" borderId="26" xfId="0" applyNumberFormat="1" applyFill="1" applyBorder="1" applyAlignment="1">
      <alignment horizontal="center"/>
    </xf>
    <xf numFmtId="164" fontId="0" fillId="11" borderId="27" xfId="0" applyNumberFormat="1" applyFill="1" applyBorder="1" applyAlignment="1">
      <alignment horizontal="center"/>
    </xf>
    <xf numFmtId="0" fontId="2" fillId="2" borderId="1" xfId="0" applyFont="1" applyFill="1" applyBorder="1" applyAlignment="1">
      <alignment horizontal="center" vertical="center"/>
    </xf>
    <xf numFmtId="0" fontId="0" fillId="0" borderId="3" xfId="0" applyBorder="1"/>
    <xf numFmtId="0" fontId="0" fillId="0" borderId="4" xfId="0" applyBorder="1"/>
    <xf numFmtId="0" fontId="2" fillId="2" borderId="1" xfId="0" applyFont="1" applyFill="1" applyBorder="1" applyAlignment="1">
      <alignment horizontal="center" vertical="center" wrapText="1"/>
    </xf>
    <xf numFmtId="0" fontId="0" fillId="0" borderId="28" xfId="0" applyBorder="1"/>
    <xf numFmtId="0" fontId="1" fillId="2" borderId="0" xfId="0" applyFont="1" applyFill="1" applyAlignment="1">
      <alignment horizontal="center" vertical="center"/>
    </xf>
    <xf numFmtId="0" fontId="0" fillId="0" borderId="0" xfId="0"/>
    <xf numFmtId="0" fontId="4" fillId="2" borderId="0" xfId="0" applyFont="1" applyFill="1" applyAlignment="1">
      <alignment horizontal="center" vertical="center"/>
    </xf>
  </cellXfs>
  <cellStyles count="1">
    <cellStyle name="Normal" xfId="0" builtinId="0"/>
  </cellStyles>
  <dxfs count="3">
    <dxf>
      <font>
        <b/>
        <color rgb="FF9C0006"/>
      </font>
      <fill>
        <patternFill>
          <bgColor rgb="FFFFC7CE"/>
        </patternFill>
      </fill>
    </dxf>
    <dxf>
      <font>
        <b/>
        <color rgb="FF006100"/>
      </font>
      <fill>
        <patternFill>
          <bgColor rgb="FFC6EFCE"/>
        </patternFill>
      </fill>
    </dxf>
    <dxf>
      <font>
        <b/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53"/>
  <sheetViews>
    <sheetView tabSelected="1" topLeftCell="A25" workbookViewId="0">
      <selection activeCell="A47" sqref="A47"/>
    </sheetView>
  </sheetViews>
  <sheetFormatPr defaultRowHeight="14.4" x14ac:dyDescent="0.3"/>
  <cols>
    <col min="1" max="1" width="20" customWidth="1"/>
    <col min="2" max="17" width="14" customWidth="1"/>
  </cols>
  <sheetData>
    <row r="1" spans="1:17" ht="17.850000000000001" customHeight="1" x14ac:dyDescent="0.3">
      <c r="A1" s="52" t="s">
        <v>0</v>
      </c>
      <c r="B1" s="53"/>
      <c r="C1" s="53"/>
      <c r="D1" s="53"/>
      <c r="E1" s="53"/>
      <c r="F1" s="53"/>
      <c r="G1" s="53"/>
      <c r="H1" s="53"/>
      <c r="I1" s="53"/>
      <c r="J1" s="53"/>
      <c r="K1" s="53"/>
      <c r="L1" s="53"/>
      <c r="M1" s="53"/>
      <c r="N1" s="53"/>
      <c r="O1" s="53"/>
      <c r="P1" s="53"/>
      <c r="Q1" s="53"/>
    </row>
    <row r="2" spans="1:17" ht="15.3" customHeight="1" x14ac:dyDescent="0.3">
      <c r="A2" s="50" t="s">
        <v>1</v>
      </c>
      <c r="B2" s="47" t="s">
        <v>2</v>
      </c>
      <c r="C2" s="48"/>
      <c r="D2" s="48"/>
      <c r="E2" s="49"/>
      <c r="F2" s="47" t="s">
        <v>3</v>
      </c>
      <c r="G2" s="48"/>
      <c r="H2" s="48"/>
      <c r="I2" s="49"/>
      <c r="J2" s="47" t="s">
        <v>4</v>
      </c>
      <c r="K2" s="48"/>
      <c r="L2" s="48"/>
      <c r="M2" s="49"/>
      <c r="N2" s="47" t="s">
        <v>5</v>
      </c>
      <c r="O2" s="48"/>
      <c r="P2" s="48"/>
      <c r="Q2" s="49"/>
    </row>
    <row r="3" spans="1:17" ht="14.1" customHeight="1" x14ac:dyDescent="0.3">
      <c r="A3" s="51"/>
      <c r="B3" s="13" t="s">
        <v>6</v>
      </c>
      <c r="C3" s="13" t="s">
        <v>7</v>
      </c>
      <c r="D3" s="13" t="s">
        <v>8</v>
      </c>
      <c r="E3" s="13" t="s">
        <v>9</v>
      </c>
      <c r="F3" s="13" t="s">
        <v>6</v>
      </c>
      <c r="G3" s="13" t="s">
        <v>7</v>
      </c>
      <c r="H3" s="13" t="s">
        <v>8</v>
      </c>
      <c r="I3" s="13" t="s">
        <v>9</v>
      </c>
      <c r="J3" s="13" t="s">
        <v>6</v>
      </c>
      <c r="K3" s="13" t="s">
        <v>7</v>
      </c>
      <c r="L3" s="13" t="s">
        <v>8</v>
      </c>
      <c r="M3" s="13" t="s">
        <v>9</v>
      </c>
      <c r="N3" s="13" t="s">
        <v>6</v>
      </c>
      <c r="O3" s="13" t="s">
        <v>7</v>
      </c>
      <c r="P3" s="13" t="s">
        <v>8</v>
      </c>
      <c r="Q3" s="13" t="s">
        <v>9</v>
      </c>
    </row>
    <row r="4" spans="1:17" x14ac:dyDescent="0.3">
      <c r="A4" s="34" t="s">
        <v>10</v>
      </c>
      <c r="B4" s="23" t="s">
        <v>7</v>
      </c>
      <c r="C4" s="24" t="s">
        <v>9</v>
      </c>
      <c r="D4" s="24" t="s">
        <v>6</v>
      </c>
      <c r="E4" s="25" t="s">
        <v>8</v>
      </c>
      <c r="F4" s="14" t="s">
        <v>11</v>
      </c>
      <c r="G4" s="15" t="s">
        <v>11</v>
      </c>
      <c r="H4" s="15" t="s">
        <v>9</v>
      </c>
      <c r="I4" s="16" t="s">
        <v>8</v>
      </c>
      <c r="J4" s="23" t="s">
        <v>11</v>
      </c>
      <c r="K4" s="24" t="s">
        <v>11</v>
      </c>
      <c r="L4" s="24" t="s">
        <v>11</v>
      </c>
      <c r="M4" s="25" t="s">
        <v>11</v>
      </c>
      <c r="N4" s="14" t="s">
        <v>11</v>
      </c>
      <c r="O4" s="15" t="s">
        <v>11</v>
      </c>
      <c r="P4" s="15" t="s">
        <v>9</v>
      </c>
      <c r="Q4" s="16" t="s">
        <v>8</v>
      </c>
    </row>
    <row r="5" spans="1:17" x14ac:dyDescent="0.3">
      <c r="A5" s="35" t="s">
        <v>12</v>
      </c>
      <c r="B5" s="26" t="s">
        <v>11</v>
      </c>
      <c r="C5" s="2" t="s">
        <v>9</v>
      </c>
      <c r="D5" s="2" t="s">
        <v>6</v>
      </c>
      <c r="E5" s="27" t="s">
        <v>6</v>
      </c>
      <c r="F5" s="17" t="s">
        <v>8</v>
      </c>
      <c r="G5" s="3" t="s">
        <v>9</v>
      </c>
      <c r="H5" s="3" t="s">
        <v>11</v>
      </c>
      <c r="I5" s="18" t="s">
        <v>7</v>
      </c>
      <c r="J5" s="26" t="s">
        <v>11</v>
      </c>
      <c r="K5" s="2" t="s">
        <v>11</v>
      </c>
      <c r="L5" s="2" t="s">
        <v>9</v>
      </c>
      <c r="M5" s="27" t="s">
        <v>11</v>
      </c>
      <c r="N5" s="17" t="s">
        <v>11</v>
      </c>
      <c r="O5" s="3" t="s">
        <v>8</v>
      </c>
      <c r="P5" s="3" t="s">
        <v>11</v>
      </c>
      <c r="Q5" s="18" t="s">
        <v>11</v>
      </c>
    </row>
    <row r="6" spans="1:17" x14ac:dyDescent="0.3">
      <c r="A6" s="35" t="s">
        <v>13</v>
      </c>
      <c r="B6" s="26" t="s">
        <v>9</v>
      </c>
      <c r="C6" s="2" t="s">
        <v>6</v>
      </c>
      <c r="D6" s="2" t="s">
        <v>11</v>
      </c>
      <c r="E6" s="27" t="s">
        <v>7</v>
      </c>
      <c r="F6" s="17" t="s">
        <v>11</v>
      </c>
      <c r="G6" s="3" t="s">
        <v>8</v>
      </c>
      <c r="H6" s="3" t="s">
        <v>7</v>
      </c>
      <c r="I6" s="18" t="s">
        <v>11</v>
      </c>
      <c r="J6" s="26" t="s">
        <v>11</v>
      </c>
      <c r="K6" s="2" t="s">
        <v>11</v>
      </c>
      <c r="L6" s="2" t="s">
        <v>11</v>
      </c>
      <c r="M6" s="27" t="s">
        <v>11</v>
      </c>
      <c r="N6" s="17" t="s">
        <v>8</v>
      </c>
      <c r="O6" s="3" t="s">
        <v>6</v>
      </c>
      <c r="P6" s="3" t="s">
        <v>9</v>
      </c>
      <c r="Q6" s="18" t="s">
        <v>11</v>
      </c>
    </row>
    <row r="7" spans="1:17" x14ac:dyDescent="0.3">
      <c r="A7" s="35" t="s">
        <v>14</v>
      </c>
      <c r="B7" s="26" t="s">
        <v>9</v>
      </c>
      <c r="C7" s="2" t="s">
        <v>9</v>
      </c>
      <c r="D7" s="2" t="s">
        <v>6</v>
      </c>
      <c r="E7" s="27" t="s">
        <v>11</v>
      </c>
      <c r="F7" s="17" t="s">
        <v>7</v>
      </c>
      <c r="G7" s="3" t="s">
        <v>9</v>
      </c>
      <c r="H7" s="3" t="s">
        <v>9</v>
      </c>
      <c r="I7" s="18" t="s">
        <v>11</v>
      </c>
      <c r="J7" s="26" t="s">
        <v>11</v>
      </c>
      <c r="K7" s="2" t="s">
        <v>11</v>
      </c>
      <c r="L7" s="2" t="s">
        <v>9</v>
      </c>
      <c r="M7" s="27" t="s">
        <v>8</v>
      </c>
      <c r="N7" s="17" t="s">
        <v>11</v>
      </c>
      <c r="O7" s="3" t="s">
        <v>8</v>
      </c>
      <c r="P7" s="3" t="s">
        <v>9</v>
      </c>
      <c r="Q7" s="18" t="s">
        <v>11</v>
      </c>
    </row>
    <row r="8" spans="1:17" ht="12" customHeight="1" x14ac:dyDescent="0.3">
      <c r="A8" s="36" t="s">
        <v>15</v>
      </c>
      <c r="B8" s="28" t="s">
        <v>11</v>
      </c>
      <c r="C8" s="29" t="s">
        <v>6</v>
      </c>
      <c r="D8" s="29" t="s">
        <v>9</v>
      </c>
      <c r="E8" s="30" t="s">
        <v>7</v>
      </c>
      <c r="F8" s="19" t="s">
        <v>11</v>
      </c>
      <c r="G8" s="20" t="s">
        <v>8</v>
      </c>
      <c r="H8" s="20" t="s">
        <v>9</v>
      </c>
      <c r="I8" s="21" t="s">
        <v>7</v>
      </c>
      <c r="J8" s="28" t="s">
        <v>8</v>
      </c>
      <c r="K8" s="29" t="s">
        <v>11</v>
      </c>
      <c r="L8" s="29" t="s">
        <v>9</v>
      </c>
      <c r="M8" s="30" t="s">
        <v>8</v>
      </c>
      <c r="N8" s="19" t="s">
        <v>11</v>
      </c>
      <c r="O8" s="20" t="s">
        <v>11</v>
      </c>
      <c r="P8" s="20" t="s">
        <v>9</v>
      </c>
      <c r="Q8" s="21" t="s">
        <v>8</v>
      </c>
    </row>
    <row r="9" spans="1:17" x14ac:dyDescent="0.3">
      <c r="A9" s="34" t="s">
        <v>16</v>
      </c>
      <c r="B9" s="23" t="s">
        <v>11</v>
      </c>
      <c r="C9" s="24" t="s">
        <v>9</v>
      </c>
      <c r="D9" s="24" t="s">
        <v>9</v>
      </c>
      <c r="E9" s="25" t="s">
        <v>8</v>
      </c>
      <c r="F9" s="14" t="s">
        <v>8</v>
      </c>
      <c r="G9" s="15" t="s">
        <v>6</v>
      </c>
      <c r="H9" s="15" t="s">
        <v>6</v>
      </c>
      <c r="I9" s="16" t="s">
        <v>11</v>
      </c>
      <c r="J9" s="23" t="s">
        <v>11</v>
      </c>
      <c r="K9" s="24" t="s">
        <v>11</v>
      </c>
      <c r="L9" s="24" t="s">
        <v>9</v>
      </c>
      <c r="M9" s="25" t="s">
        <v>9</v>
      </c>
      <c r="N9" s="32" t="s">
        <v>9</v>
      </c>
      <c r="O9" s="15" t="s">
        <v>8</v>
      </c>
      <c r="P9" s="15" t="s">
        <v>9</v>
      </c>
      <c r="Q9" s="16" t="s">
        <v>11</v>
      </c>
    </row>
    <row r="10" spans="1:17" x14ac:dyDescent="0.3">
      <c r="A10" s="35" t="s">
        <v>17</v>
      </c>
      <c r="B10" s="26" t="s">
        <v>8</v>
      </c>
      <c r="C10" s="2" t="s">
        <v>6</v>
      </c>
      <c r="D10" s="2" t="s">
        <v>9</v>
      </c>
      <c r="E10" s="27" t="s">
        <v>7</v>
      </c>
      <c r="F10" s="17" t="s">
        <v>11</v>
      </c>
      <c r="G10" s="3" t="s">
        <v>8</v>
      </c>
      <c r="H10" s="3" t="s">
        <v>9</v>
      </c>
      <c r="I10" s="18" t="s">
        <v>7</v>
      </c>
      <c r="J10" s="26" t="s">
        <v>11</v>
      </c>
      <c r="K10" s="2" t="s">
        <v>8</v>
      </c>
      <c r="L10" s="2" t="s">
        <v>11</v>
      </c>
      <c r="M10" s="27" t="s">
        <v>11</v>
      </c>
      <c r="N10" s="31" t="s">
        <v>11</v>
      </c>
      <c r="O10" s="3" t="s">
        <v>11</v>
      </c>
      <c r="P10" s="3" t="s">
        <v>9</v>
      </c>
      <c r="Q10" s="18" t="s">
        <v>8</v>
      </c>
    </row>
    <row r="11" spans="1:17" x14ac:dyDescent="0.3">
      <c r="A11" s="35" t="s">
        <v>18</v>
      </c>
      <c r="B11" s="26" t="s">
        <v>9</v>
      </c>
      <c r="C11" s="2" t="s">
        <v>11</v>
      </c>
      <c r="D11" s="2" t="s">
        <v>9</v>
      </c>
      <c r="E11" s="27" t="s">
        <v>11</v>
      </c>
      <c r="F11" s="17" t="s">
        <v>7</v>
      </c>
      <c r="G11" s="3" t="s">
        <v>8</v>
      </c>
      <c r="H11" s="3" t="s">
        <v>9</v>
      </c>
      <c r="I11" s="18" t="s">
        <v>11</v>
      </c>
      <c r="J11" s="26" t="s">
        <v>7</v>
      </c>
      <c r="K11" s="2" t="s">
        <v>8</v>
      </c>
      <c r="L11" s="2" t="s">
        <v>9</v>
      </c>
      <c r="M11" s="27" t="s">
        <v>11</v>
      </c>
      <c r="N11" s="31" t="s">
        <v>11</v>
      </c>
      <c r="O11" s="3" t="s">
        <v>11</v>
      </c>
      <c r="P11" s="3" t="s">
        <v>11</v>
      </c>
      <c r="Q11" s="18" t="s">
        <v>11</v>
      </c>
    </row>
    <row r="12" spans="1:17" x14ac:dyDescent="0.3">
      <c r="A12" s="35" t="s">
        <v>19</v>
      </c>
      <c r="B12" s="26" t="s">
        <v>11</v>
      </c>
      <c r="C12" s="2" t="s">
        <v>6</v>
      </c>
      <c r="D12" s="2" t="s">
        <v>7</v>
      </c>
      <c r="E12" s="27" t="s">
        <v>7</v>
      </c>
      <c r="F12" s="17" t="s">
        <v>11</v>
      </c>
      <c r="G12" s="3" t="s">
        <v>11</v>
      </c>
      <c r="H12" s="3" t="s">
        <v>9</v>
      </c>
      <c r="I12" s="18" t="s">
        <v>8</v>
      </c>
      <c r="J12" s="26" t="s">
        <v>11</v>
      </c>
      <c r="K12" s="2" t="s">
        <v>11</v>
      </c>
      <c r="L12" s="2" t="s">
        <v>9</v>
      </c>
      <c r="M12" s="27" t="s">
        <v>11</v>
      </c>
      <c r="N12" s="31" t="s">
        <v>11</v>
      </c>
      <c r="O12" s="3" t="s">
        <v>11</v>
      </c>
      <c r="P12" s="3" t="s">
        <v>9</v>
      </c>
      <c r="Q12" s="18" t="s">
        <v>8</v>
      </c>
    </row>
    <row r="13" spans="1:17" ht="12" customHeight="1" x14ac:dyDescent="0.3">
      <c r="A13" s="36" t="s">
        <v>20</v>
      </c>
      <c r="B13" s="28" t="s">
        <v>9</v>
      </c>
      <c r="C13" s="29" t="s">
        <v>6</v>
      </c>
      <c r="D13" s="29" t="s">
        <v>11</v>
      </c>
      <c r="E13" s="30" t="s">
        <v>7</v>
      </c>
      <c r="F13" s="19" t="s">
        <v>8</v>
      </c>
      <c r="G13" s="20" t="s">
        <v>8</v>
      </c>
      <c r="H13" s="20" t="s">
        <v>6</v>
      </c>
      <c r="I13" s="21" t="s">
        <v>11</v>
      </c>
      <c r="J13" s="28" t="s">
        <v>11</v>
      </c>
      <c r="K13" s="29" t="s">
        <v>11</v>
      </c>
      <c r="L13" s="29" t="s">
        <v>9</v>
      </c>
      <c r="M13" s="30" t="s">
        <v>11</v>
      </c>
      <c r="N13" s="33" t="s">
        <v>8</v>
      </c>
      <c r="O13" s="20" t="s">
        <v>6</v>
      </c>
      <c r="P13" s="20" t="s">
        <v>6</v>
      </c>
      <c r="Q13" s="21" t="s">
        <v>11</v>
      </c>
    </row>
    <row r="14" spans="1:17" x14ac:dyDescent="0.3">
      <c r="A14" s="34" t="s">
        <v>21</v>
      </c>
      <c r="B14" s="23" t="s">
        <v>11</v>
      </c>
      <c r="C14" s="24" t="s">
        <v>6</v>
      </c>
      <c r="D14" s="24" t="s">
        <v>7</v>
      </c>
      <c r="E14" s="25" t="s">
        <v>11</v>
      </c>
      <c r="F14" s="14" t="s">
        <v>8</v>
      </c>
      <c r="G14" s="15" t="s">
        <v>6</v>
      </c>
      <c r="H14" s="15" t="s">
        <v>9</v>
      </c>
      <c r="I14" s="16" t="s">
        <v>11</v>
      </c>
      <c r="J14" s="23" t="s">
        <v>11</v>
      </c>
      <c r="K14" s="24" t="s">
        <v>11</v>
      </c>
      <c r="L14" s="24" t="s">
        <v>11</v>
      </c>
      <c r="M14" s="25" t="s">
        <v>11</v>
      </c>
      <c r="N14" s="32" t="s">
        <v>7</v>
      </c>
      <c r="O14" s="15" t="s">
        <v>6</v>
      </c>
      <c r="P14" s="15" t="s">
        <v>9</v>
      </c>
      <c r="Q14" s="16" t="s">
        <v>11</v>
      </c>
    </row>
    <row r="15" spans="1:17" x14ac:dyDescent="0.3">
      <c r="A15" s="35" t="s">
        <v>22</v>
      </c>
      <c r="B15" s="26" t="s">
        <v>11</v>
      </c>
      <c r="C15" s="2" t="s">
        <v>8</v>
      </c>
      <c r="D15" s="2" t="s">
        <v>6</v>
      </c>
      <c r="E15" s="27" t="s">
        <v>7</v>
      </c>
      <c r="F15" s="17" t="s">
        <v>11</v>
      </c>
      <c r="G15" s="3" t="s">
        <v>11</v>
      </c>
      <c r="H15" s="3" t="s">
        <v>9</v>
      </c>
      <c r="I15" s="18" t="s">
        <v>11</v>
      </c>
      <c r="J15" s="26" t="s">
        <v>11</v>
      </c>
      <c r="K15" s="2" t="s">
        <v>8</v>
      </c>
      <c r="L15" s="2" t="s">
        <v>11</v>
      </c>
      <c r="M15" s="27" t="s">
        <v>9</v>
      </c>
      <c r="N15" s="31" t="s">
        <v>11</v>
      </c>
      <c r="O15" s="3" t="s">
        <v>6</v>
      </c>
      <c r="P15" s="3" t="s">
        <v>9</v>
      </c>
      <c r="Q15" s="18" t="s">
        <v>11</v>
      </c>
    </row>
    <row r="16" spans="1:17" x14ac:dyDescent="0.3">
      <c r="A16" s="35" t="s">
        <v>23</v>
      </c>
      <c r="B16" s="26" t="s">
        <v>11</v>
      </c>
      <c r="C16" s="2" t="s">
        <v>11</v>
      </c>
      <c r="D16" s="2" t="s">
        <v>6</v>
      </c>
      <c r="E16" s="27" t="s">
        <v>7</v>
      </c>
      <c r="F16" s="17" t="s">
        <v>7</v>
      </c>
      <c r="G16" s="3" t="s">
        <v>8</v>
      </c>
      <c r="H16" s="3" t="s">
        <v>11</v>
      </c>
      <c r="I16" s="18" t="s">
        <v>11</v>
      </c>
      <c r="J16" s="26" t="s">
        <v>11</v>
      </c>
      <c r="K16" s="2" t="s">
        <v>11</v>
      </c>
      <c r="L16" s="2" t="s">
        <v>9</v>
      </c>
      <c r="M16" s="27" t="s">
        <v>11</v>
      </c>
      <c r="N16" s="31" t="s">
        <v>7</v>
      </c>
      <c r="O16" s="3" t="s">
        <v>7</v>
      </c>
      <c r="P16" s="3" t="s">
        <v>11</v>
      </c>
      <c r="Q16" s="18" t="s">
        <v>11</v>
      </c>
    </row>
    <row r="17" spans="1:17" x14ac:dyDescent="0.3">
      <c r="A17" s="35" t="s">
        <v>24</v>
      </c>
      <c r="B17" s="26" t="s">
        <v>8</v>
      </c>
      <c r="C17" s="2" t="s">
        <v>6</v>
      </c>
      <c r="D17" s="2" t="s">
        <v>7</v>
      </c>
      <c r="E17" s="27" t="s">
        <v>11</v>
      </c>
      <c r="F17" s="17" t="s">
        <v>8</v>
      </c>
      <c r="G17" s="3" t="s">
        <v>11</v>
      </c>
      <c r="H17" s="3" t="s">
        <v>6</v>
      </c>
      <c r="I17" s="18" t="s">
        <v>11</v>
      </c>
      <c r="J17" s="26" t="s">
        <v>7</v>
      </c>
      <c r="K17" s="2" t="s">
        <v>6</v>
      </c>
      <c r="L17" s="2" t="s">
        <v>11</v>
      </c>
      <c r="M17" s="27" t="s">
        <v>11</v>
      </c>
      <c r="N17" s="31" t="s">
        <v>8</v>
      </c>
      <c r="O17" s="3" t="s">
        <v>11</v>
      </c>
      <c r="P17" s="3" t="s">
        <v>11</v>
      </c>
      <c r="Q17" s="18" t="s">
        <v>11</v>
      </c>
    </row>
    <row r="18" spans="1:17" ht="12" customHeight="1" x14ac:dyDescent="0.3">
      <c r="A18" s="36" t="s">
        <v>25</v>
      </c>
      <c r="B18" s="28" t="s">
        <v>11</v>
      </c>
      <c r="C18" s="29" t="s">
        <v>8</v>
      </c>
      <c r="D18" s="29" t="s">
        <v>9</v>
      </c>
      <c r="E18" s="30" t="s">
        <v>7</v>
      </c>
      <c r="F18" s="19" t="s">
        <v>11</v>
      </c>
      <c r="G18" s="20" t="s">
        <v>11</v>
      </c>
      <c r="H18" s="20" t="s">
        <v>9</v>
      </c>
      <c r="I18" s="21" t="s">
        <v>9</v>
      </c>
      <c r="J18" s="28" t="s">
        <v>11</v>
      </c>
      <c r="K18" s="29" t="s">
        <v>11</v>
      </c>
      <c r="L18" s="29" t="s">
        <v>9</v>
      </c>
      <c r="M18" s="30" t="s">
        <v>11</v>
      </c>
      <c r="N18" s="33" t="s">
        <v>9</v>
      </c>
      <c r="O18" s="20" t="s">
        <v>8</v>
      </c>
      <c r="P18" s="20" t="s">
        <v>9</v>
      </c>
      <c r="Q18" s="21" t="s">
        <v>11</v>
      </c>
    </row>
    <row r="19" spans="1:17" x14ac:dyDescent="0.3">
      <c r="A19" s="34" t="s">
        <v>26</v>
      </c>
      <c r="B19" s="23" t="s">
        <v>11</v>
      </c>
      <c r="C19" s="24" t="s">
        <v>11</v>
      </c>
      <c r="D19" s="24" t="s">
        <v>9</v>
      </c>
      <c r="E19" s="25" t="s">
        <v>11</v>
      </c>
      <c r="F19" s="14" t="s">
        <v>8</v>
      </c>
      <c r="G19" s="15" t="s">
        <v>6</v>
      </c>
      <c r="H19" s="15" t="s">
        <v>6</v>
      </c>
      <c r="I19" s="16" t="s">
        <v>11</v>
      </c>
      <c r="J19" s="23" t="s">
        <v>11</v>
      </c>
      <c r="K19" s="24" t="s">
        <v>6</v>
      </c>
      <c r="L19" s="24" t="s">
        <v>11</v>
      </c>
      <c r="M19" s="25" t="s">
        <v>11</v>
      </c>
      <c r="N19" s="14" t="s">
        <v>8</v>
      </c>
      <c r="O19" s="15" t="s">
        <v>9</v>
      </c>
      <c r="P19" s="15" t="s">
        <v>6</v>
      </c>
      <c r="Q19" s="16" t="s">
        <v>11</v>
      </c>
    </row>
    <row r="20" spans="1:17" x14ac:dyDescent="0.3">
      <c r="A20" s="35" t="s">
        <v>27</v>
      </c>
      <c r="B20" s="26" t="s">
        <v>9</v>
      </c>
      <c r="C20" s="2" t="s">
        <v>11</v>
      </c>
      <c r="D20" s="2" t="s">
        <v>9</v>
      </c>
      <c r="E20" s="27" t="s">
        <v>11</v>
      </c>
      <c r="F20" s="17" t="s">
        <v>8</v>
      </c>
      <c r="G20" s="3" t="s">
        <v>6</v>
      </c>
      <c r="H20" s="3" t="s">
        <v>9</v>
      </c>
      <c r="I20" s="18" t="s">
        <v>11</v>
      </c>
      <c r="J20" s="26" t="s">
        <v>11</v>
      </c>
      <c r="K20" s="2" t="s">
        <v>11</v>
      </c>
      <c r="L20" s="2" t="s">
        <v>9</v>
      </c>
      <c r="M20" s="27" t="s">
        <v>11</v>
      </c>
      <c r="N20" s="17" t="s">
        <v>11</v>
      </c>
      <c r="O20" s="3" t="s">
        <v>11</v>
      </c>
      <c r="P20" s="3" t="s">
        <v>9</v>
      </c>
      <c r="Q20" s="18" t="s">
        <v>11</v>
      </c>
    </row>
    <row r="21" spans="1:17" x14ac:dyDescent="0.3">
      <c r="A21" s="35" t="s">
        <v>28</v>
      </c>
      <c r="B21" s="26" t="s">
        <v>8</v>
      </c>
      <c r="C21" s="2" t="s">
        <v>11</v>
      </c>
      <c r="D21" s="2" t="s">
        <v>6</v>
      </c>
      <c r="E21" s="27" t="s">
        <v>11</v>
      </c>
      <c r="F21" s="17" t="s">
        <v>11</v>
      </c>
      <c r="G21" s="3" t="s">
        <v>6</v>
      </c>
      <c r="H21" s="3" t="s">
        <v>7</v>
      </c>
      <c r="I21" s="18" t="s">
        <v>11</v>
      </c>
      <c r="J21" s="26" t="s">
        <v>11</v>
      </c>
      <c r="K21" s="2" t="s">
        <v>6</v>
      </c>
      <c r="L21" s="2" t="s">
        <v>11</v>
      </c>
      <c r="M21" s="27" t="s">
        <v>11</v>
      </c>
      <c r="N21" s="17" t="s">
        <v>8</v>
      </c>
      <c r="O21" s="3" t="s">
        <v>11</v>
      </c>
      <c r="P21" s="3" t="s">
        <v>9</v>
      </c>
      <c r="Q21" s="18" t="s">
        <v>11</v>
      </c>
    </row>
    <row r="22" spans="1:17" x14ac:dyDescent="0.3">
      <c r="A22" s="35" t="s">
        <v>29</v>
      </c>
      <c r="B22" s="26" t="s">
        <v>7</v>
      </c>
      <c r="C22" s="2" t="s">
        <v>8</v>
      </c>
      <c r="D22" s="2" t="s">
        <v>11</v>
      </c>
      <c r="E22" s="27" t="s">
        <v>6</v>
      </c>
      <c r="F22" s="17" t="s">
        <v>7</v>
      </c>
      <c r="G22" s="3" t="s">
        <v>6</v>
      </c>
      <c r="H22" s="3" t="s">
        <v>7</v>
      </c>
      <c r="I22" s="18" t="s">
        <v>11</v>
      </c>
      <c r="J22" s="26" t="s">
        <v>11</v>
      </c>
      <c r="K22" s="2" t="s">
        <v>11</v>
      </c>
      <c r="L22" s="2" t="s">
        <v>9</v>
      </c>
      <c r="M22" s="27" t="s">
        <v>11</v>
      </c>
      <c r="N22" s="17" t="s">
        <v>8</v>
      </c>
      <c r="O22" s="3" t="s">
        <v>6</v>
      </c>
      <c r="P22" s="3" t="s">
        <v>7</v>
      </c>
      <c r="Q22" s="18" t="s">
        <v>11</v>
      </c>
    </row>
    <row r="23" spans="1:17" ht="12" customHeight="1" x14ac:dyDescent="0.3">
      <c r="A23" s="36" t="s">
        <v>30</v>
      </c>
      <c r="B23" s="28" t="s">
        <v>11</v>
      </c>
      <c r="C23" s="29" t="s">
        <v>6</v>
      </c>
      <c r="D23" s="29" t="s">
        <v>11</v>
      </c>
      <c r="E23" s="30" t="s">
        <v>7</v>
      </c>
      <c r="F23" s="19" t="s">
        <v>7</v>
      </c>
      <c r="G23" s="20" t="s">
        <v>8</v>
      </c>
      <c r="H23" s="20" t="s">
        <v>11</v>
      </c>
      <c r="I23" s="21" t="s">
        <v>6</v>
      </c>
      <c r="J23" s="28" t="s">
        <v>8</v>
      </c>
      <c r="K23" s="29" t="s">
        <v>6</v>
      </c>
      <c r="L23" s="29" t="s">
        <v>11</v>
      </c>
      <c r="M23" s="30" t="s">
        <v>11</v>
      </c>
      <c r="N23" s="19" t="s">
        <v>7</v>
      </c>
      <c r="O23" s="20" t="s">
        <v>9</v>
      </c>
      <c r="P23" s="20" t="s">
        <v>11</v>
      </c>
      <c r="Q23" s="21" t="s">
        <v>11</v>
      </c>
    </row>
    <row r="24" spans="1:17" x14ac:dyDescent="0.3">
      <c r="A24" s="38" t="s">
        <v>31</v>
      </c>
      <c r="B24" s="23" t="s">
        <v>11</v>
      </c>
      <c r="C24" s="24" t="s">
        <v>11</v>
      </c>
      <c r="D24" s="24" t="s">
        <v>6</v>
      </c>
      <c r="E24" s="25" t="s">
        <v>9</v>
      </c>
      <c r="F24" s="14" t="s">
        <v>8</v>
      </c>
      <c r="G24" s="15" t="s">
        <v>8</v>
      </c>
      <c r="H24" s="15" t="s">
        <v>7</v>
      </c>
      <c r="I24" s="16" t="s">
        <v>8</v>
      </c>
      <c r="J24" s="23" t="s">
        <v>9</v>
      </c>
      <c r="K24" s="24" t="s">
        <v>11</v>
      </c>
      <c r="L24" s="24" t="s">
        <v>11</v>
      </c>
      <c r="M24" s="25" t="s">
        <v>11</v>
      </c>
      <c r="N24" s="32" t="s">
        <v>11</v>
      </c>
      <c r="O24" s="15" t="s">
        <v>11</v>
      </c>
      <c r="P24" s="15" t="s">
        <v>9</v>
      </c>
      <c r="Q24" s="16" t="s">
        <v>11</v>
      </c>
    </row>
    <row r="25" spans="1:17" x14ac:dyDescent="0.3">
      <c r="A25" s="39" t="s">
        <v>32</v>
      </c>
      <c r="B25" s="26" t="s">
        <v>7</v>
      </c>
      <c r="C25" s="2" t="s">
        <v>9</v>
      </c>
      <c r="D25" s="2" t="s">
        <v>7</v>
      </c>
      <c r="E25" s="27" t="s">
        <v>11</v>
      </c>
      <c r="F25" s="17" t="s">
        <v>11</v>
      </c>
      <c r="G25" s="3" t="s">
        <v>9</v>
      </c>
      <c r="H25" s="3" t="s">
        <v>6</v>
      </c>
      <c r="I25" s="18" t="s">
        <v>11</v>
      </c>
      <c r="J25" s="26" t="s">
        <v>11</v>
      </c>
      <c r="K25" s="2" t="s">
        <v>8</v>
      </c>
      <c r="L25" s="2" t="s">
        <v>9</v>
      </c>
      <c r="M25" s="27" t="s">
        <v>11</v>
      </c>
      <c r="N25" s="31" t="s">
        <v>11</v>
      </c>
      <c r="O25" s="3" t="s">
        <v>11</v>
      </c>
      <c r="P25" s="3" t="s">
        <v>11</v>
      </c>
      <c r="Q25" s="18" t="s">
        <v>11</v>
      </c>
    </row>
    <row r="26" spans="1:17" x14ac:dyDescent="0.3">
      <c r="A26" s="39" t="s">
        <v>33</v>
      </c>
      <c r="B26" s="26" t="s">
        <v>11</v>
      </c>
      <c r="C26" s="2" t="s">
        <v>9</v>
      </c>
      <c r="D26" s="2" t="s">
        <v>7</v>
      </c>
      <c r="E26" s="27" t="s">
        <v>6</v>
      </c>
      <c r="F26" s="17" t="s">
        <v>9</v>
      </c>
      <c r="G26" s="3" t="s">
        <v>8</v>
      </c>
      <c r="H26" s="3" t="s">
        <v>9</v>
      </c>
      <c r="I26" s="18" t="s">
        <v>7</v>
      </c>
      <c r="J26" s="26" t="s">
        <v>8</v>
      </c>
      <c r="K26" s="2" t="s">
        <v>9</v>
      </c>
      <c r="L26" s="2" t="s">
        <v>6</v>
      </c>
      <c r="M26" s="27" t="s">
        <v>6</v>
      </c>
      <c r="N26" s="31" t="s">
        <v>7</v>
      </c>
      <c r="O26" s="3" t="s">
        <v>9</v>
      </c>
      <c r="P26" s="3" t="s">
        <v>7</v>
      </c>
      <c r="Q26" s="18" t="s">
        <v>11</v>
      </c>
    </row>
    <row r="27" spans="1:17" x14ac:dyDescent="0.3">
      <c r="A27" s="39" t="s">
        <v>34</v>
      </c>
      <c r="B27" s="26" t="s">
        <v>9</v>
      </c>
      <c r="C27" s="2" t="s">
        <v>8</v>
      </c>
      <c r="D27" s="2" t="s">
        <v>11</v>
      </c>
      <c r="E27" s="27" t="s">
        <v>11</v>
      </c>
      <c r="F27" s="17" t="s">
        <v>8</v>
      </c>
      <c r="G27" s="3" t="s">
        <v>9</v>
      </c>
      <c r="H27" s="3" t="s">
        <v>9</v>
      </c>
      <c r="I27" s="18" t="s">
        <v>11</v>
      </c>
      <c r="J27" s="26" t="s">
        <v>11</v>
      </c>
      <c r="K27" s="2" t="s">
        <v>11</v>
      </c>
      <c r="L27" s="2" t="s">
        <v>11</v>
      </c>
      <c r="M27" s="27" t="s">
        <v>11</v>
      </c>
      <c r="N27" s="31" t="s">
        <v>11</v>
      </c>
      <c r="O27" s="3" t="s">
        <v>11</v>
      </c>
      <c r="P27" s="3" t="s">
        <v>9</v>
      </c>
      <c r="Q27" s="18" t="s">
        <v>11</v>
      </c>
    </row>
    <row r="28" spans="1:17" ht="12" customHeight="1" x14ac:dyDescent="0.3">
      <c r="A28" s="40" t="s">
        <v>35</v>
      </c>
      <c r="B28" s="28" t="s">
        <v>7</v>
      </c>
      <c r="C28" s="29" t="s">
        <v>8</v>
      </c>
      <c r="D28" s="29" t="s">
        <v>6</v>
      </c>
      <c r="E28" s="30" t="s">
        <v>7</v>
      </c>
      <c r="F28" s="19" t="s">
        <v>8</v>
      </c>
      <c r="G28" s="20" t="s">
        <v>9</v>
      </c>
      <c r="H28" s="20" t="s">
        <v>7</v>
      </c>
      <c r="I28" s="21" t="s">
        <v>11</v>
      </c>
      <c r="J28" s="28" t="s">
        <v>11</v>
      </c>
      <c r="K28" s="29" t="s">
        <v>8</v>
      </c>
      <c r="L28" s="29" t="s">
        <v>9</v>
      </c>
      <c r="M28" s="30" t="s">
        <v>11</v>
      </c>
      <c r="N28" s="33" t="s">
        <v>11</v>
      </c>
      <c r="O28" s="20" t="s">
        <v>11</v>
      </c>
      <c r="P28" s="20" t="s">
        <v>9</v>
      </c>
      <c r="Q28" s="21" t="s">
        <v>11</v>
      </c>
    </row>
    <row r="29" spans="1:17" x14ac:dyDescent="0.3">
      <c r="A29" s="37" t="s">
        <v>36</v>
      </c>
      <c r="B29" s="22" t="s">
        <v>9</v>
      </c>
      <c r="C29" s="22" t="s">
        <v>11</v>
      </c>
      <c r="D29" s="22" t="s">
        <v>6</v>
      </c>
      <c r="E29" s="22" t="s">
        <v>11</v>
      </c>
      <c r="F29" s="12" t="s">
        <v>11</v>
      </c>
      <c r="G29" s="12" t="s">
        <v>6</v>
      </c>
      <c r="H29" s="12" t="s">
        <v>9</v>
      </c>
      <c r="I29" s="12" t="s">
        <v>11</v>
      </c>
      <c r="J29" s="22" t="s">
        <v>11</v>
      </c>
      <c r="K29" s="22" t="s">
        <v>11</v>
      </c>
      <c r="L29" s="22" t="s">
        <v>9</v>
      </c>
      <c r="M29" s="22" t="s">
        <v>11</v>
      </c>
      <c r="N29" s="12" t="s">
        <v>11</v>
      </c>
      <c r="O29" s="12" t="s">
        <v>11</v>
      </c>
      <c r="P29" s="12" t="s">
        <v>11</v>
      </c>
      <c r="Q29" s="12" t="s">
        <v>11</v>
      </c>
    </row>
    <row r="30" spans="1:17" x14ac:dyDescent="0.3">
      <c r="A30" s="1" t="s">
        <v>37</v>
      </c>
      <c r="B30" s="2" t="s">
        <v>7</v>
      </c>
      <c r="C30" s="2" t="s">
        <v>9</v>
      </c>
      <c r="D30" s="2" t="s">
        <v>7</v>
      </c>
      <c r="E30" s="2" t="s">
        <v>11</v>
      </c>
      <c r="F30" s="3" t="s">
        <v>9</v>
      </c>
      <c r="G30" s="3" t="s">
        <v>8</v>
      </c>
      <c r="H30" s="3" t="s">
        <v>9</v>
      </c>
      <c r="I30" s="3" t="s">
        <v>11</v>
      </c>
      <c r="J30" s="2" t="s">
        <v>11</v>
      </c>
      <c r="K30" s="2" t="s">
        <v>11</v>
      </c>
      <c r="L30" s="2" t="s">
        <v>9</v>
      </c>
      <c r="M30" s="2" t="s">
        <v>8</v>
      </c>
      <c r="N30" s="3" t="s">
        <v>11</v>
      </c>
      <c r="O30" s="3" t="s">
        <v>8</v>
      </c>
      <c r="P30" s="3" t="s">
        <v>9</v>
      </c>
      <c r="Q30" s="3" t="s">
        <v>11</v>
      </c>
    </row>
    <row r="31" spans="1:17" x14ac:dyDescent="0.3">
      <c r="A31" s="1" t="s">
        <v>38</v>
      </c>
      <c r="B31" s="2" t="s">
        <v>9</v>
      </c>
      <c r="C31" s="2" t="s">
        <v>8</v>
      </c>
      <c r="D31" s="2" t="s">
        <v>9</v>
      </c>
      <c r="E31" s="2" t="s">
        <v>6</v>
      </c>
      <c r="F31" s="3" t="s">
        <v>8</v>
      </c>
      <c r="G31" s="3" t="s">
        <v>11</v>
      </c>
      <c r="H31" s="3" t="s">
        <v>9</v>
      </c>
      <c r="I31" s="3" t="s">
        <v>11</v>
      </c>
      <c r="J31" s="2" t="s">
        <v>7</v>
      </c>
      <c r="K31" s="2" t="s">
        <v>8</v>
      </c>
      <c r="L31" s="2" t="s">
        <v>9</v>
      </c>
      <c r="M31" s="2" t="s">
        <v>8</v>
      </c>
      <c r="N31" s="3" t="s">
        <v>7</v>
      </c>
      <c r="O31" s="3" t="s">
        <v>8</v>
      </c>
      <c r="P31" s="3" t="s">
        <v>9</v>
      </c>
      <c r="Q31" s="3" t="s">
        <v>11</v>
      </c>
    </row>
    <row r="32" spans="1:17" x14ac:dyDescent="0.3">
      <c r="A32" s="1" t="s">
        <v>39</v>
      </c>
      <c r="B32" s="2" t="s">
        <v>9</v>
      </c>
      <c r="C32" s="2" t="s">
        <v>6</v>
      </c>
      <c r="D32" s="2" t="s">
        <v>11</v>
      </c>
      <c r="E32" s="2" t="s">
        <v>6</v>
      </c>
      <c r="F32" s="3" t="s">
        <v>8</v>
      </c>
      <c r="G32" s="3" t="s">
        <v>6</v>
      </c>
      <c r="H32" s="3" t="s">
        <v>6</v>
      </c>
      <c r="I32" s="3" t="s">
        <v>8</v>
      </c>
      <c r="J32" s="2" t="s">
        <v>9</v>
      </c>
      <c r="K32" s="2" t="s">
        <v>9</v>
      </c>
      <c r="L32" s="2" t="s">
        <v>9</v>
      </c>
      <c r="M32" s="2" t="s">
        <v>6</v>
      </c>
      <c r="N32" s="3" t="s">
        <v>11</v>
      </c>
      <c r="O32" s="3" t="s">
        <v>6</v>
      </c>
      <c r="P32" s="3" t="s">
        <v>6</v>
      </c>
      <c r="Q32" s="3" t="s">
        <v>6</v>
      </c>
    </row>
    <row r="33" spans="1:17" x14ac:dyDescent="0.3">
      <c r="A33" s="1" t="s">
        <v>40</v>
      </c>
      <c r="B33" s="2" t="s">
        <v>7</v>
      </c>
      <c r="C33" s="2" t="s">
        <v>8</v>
      </c>
      <c r="D33" s="2" t="s">
        <v>11</v>
      </c>
      <c r="E33" s="2" t="s">
        <v>11</v>
      </c>
      <c r="F33" s="3" t="s">
        <v>11</v>
      </c>
      <c r="G33" s="3" t="s">
        <v>9</v>
      </c>
      <c r="H33" s="3" t="s">
        <v>11</v>
      </c>
      <c r="I33" s="3" t="s">
        <v>11</v>
      </c>
      <c r="J33" s="2" t="s">
        <v>9</v>
      </c>
      <c r="K33" s="2" t="s">
        <v>11</v>
      </c>
      <c r="L33" s="2" t="s">
        <v>9</v>
      </c>
      <c r="M33" s="2" t="s">
        <v>6</v>
      </c>
      <c r="N33" s="3" t="s">
        <v>7</v>
      </c>
      <c r="O33" s="3" t="s">
        <v>6</v>
      </c>
      <c r="P33" s="3" t="s">
        <v>9</v>
      </c>
      <c r="Q33" s="3" t="s">
        <v>8</v>
      </c>
    </row>
    <row r="34" spans="1:17" x14ac:dyDescent="0.3">
      <c r="A34" s="1" t="s">
        <v>41</v>
      </c>
      <c r="B34" s="2" t="s">
        <v>9</v>
      </c>
      <c r="C34" s="2" t="s">
        <v>9</v>
      </c>
      <c r="D34" s="2" t="s">
        <v>11</v>
      </c>
      <c r="E34" s="2" t="s">
        <v>11</v>
      </c>
      <c r="F34" s="3" t="s">
        <v>8</v>
      </c>
      <c r="G34" s="3" t="s">
        <v>6</v>
      </c>
      <c r="H34" s="3" t="s">
        <v>11</v>
      </c>
      <c r="I34" s="3" t="s">
        <v>6</v>
      </c>
      <c r="J34" s="2" t="s">
        <v>9</v>
      </c>
      <c r="K34" s="2" t="s">
        <v>9</v>
      </c>
      <c r="L34" s="2" t="s">
        <v>7</v>
      </c>
      <c r="M34" s="2" t="s">
        <v>7</v>
      </c>
      <c r="N34" s="3" t="s">
        <v>7</v>
      </c>
      <c r="O34" s="3" t="s">
        <v>6</v>
      </c>
      <c r="P34" s="3" t="s">
        <v>6</v>
      </c>
      <c r="Q34" s="3" t="s">
        <v>11</v>
      </c>
    </row>
    <row r="35" spans="1:17" x14ac:dyDescent="0.3">
      <c r="A35" s="1" t="s">
        <v>42</v>
      </c>
      <c r="B35" s="2" t="s">
        <v>11</v>
      </c>
      <c r="C35" s="2" t="s">
        <v>8</v>
      </c>
      <c r="D35" s="2" t="s">
        <v>9</v>
      </c>
      <c r="E35" s="2" t="s">
        <v>7</v>
      </c>
      <c r="F35" s="3" t="s">
        <v>8</v>
      </c>
      <c r="G35" s="3" t="s">
        <v>6</v>
      </c>
      <c r="H35" s="3" t="s">
        <v>9</v>
      </c>
      <c r="I35" s="3" t="s">
        <v>11</v>
      </c>
      <c r="J35" s="2" t="s">
        <v>7</v>
      </c>
      <c r="K35" s="2" t="s">
        <v>6</v>
      </c>
      <c r="L35" s="2" t="s">
        <v>11</v>
      </c>
      <c r="M35" s="2" t="s">
        <v>7</v>
      </c>
      <c r="N35" s="3" t="s">
        <v>11</v>
      </c>
      <c r="O35" s="3" t="s">
        <v>8</v>
      </c>
      <c r="P35" s="3" t="s">
        <v>11</v>
      </c>
      <c r="Q35" s="3" t="s">
        <v>7</v>
      </c>
    </row>
    <row r="36" spans="1:17" x14ac:dyDescent="0.3">
      <c r="A36" s="1" t="s">
        <v>43</v>
      </c>
      <c r="B36" s="2" t="s">
        <v>11</v>
      </c>
      <c r="C36" s="2" t="s">
        <v>11</v>
      </c>
      <c r="D36" s="2" t="s">
        <v>9</v>
      </c>
      <c r="E36" s="2" t="s">
        <v>11</v>
      </c>
      <c r="F36" s="3" t="s">
        <v>9</v>
      </c>
      <c r="G36" s="3" t="s">
        <v>6</v>
      </c>
      <c r="H36" s="3" t="s">
        <v>9</v>
      </c>
      <c r="I36" s="3" t="s">
        <v>6</v>
      </c>
      <c r="J36" s="2" t="s">
        <v>7</v>
      </c>
      <c r="K36" s="2" t="s">
        <v>6</v>
      </c>
      <c r="L36" s="2" t="s">
        <v>9</v>
      </c>
      <c r="M36" s="2" t="s">
        <v>11</v>
      </c>
      <c r="N36" s="3" t="s">
        <v>7</v>
      </c>
      <c r="O36" s="3" t="s">
        <v>11</v>
      </c>
      <c r="P36" s="3" t="s">
        <v>7</v>
      </c>
      <c r="Q36" s="3" t="s">
        <v>7</v>
      </c>
    </row>
    <row r="37" spans="1:17" x14ac:dyDescent="0.3">
      <c r="A37" s="1" t="s">
        <v>44</v>
      </c>
      <c r="B37" s="2" t="s">
        <v>11</v>
      </c>
      <c r="C37" s="2" t="s">
        <v>8</v>
      </c>
      <c r="D37" s="2" t="s">
        <v>9</v>
      </c>
      <c r="E37" s="2" t="s">
        <v>6</v>
      </c>
      <c r="F37" s="3" t="s">
        <v>8</v>
      </c>
      <c r="G37" s="3" t="s">
        <v>11</v>
      </c>
      <c r="H37" s="3" t="s">
        <v>11</v>
      </c>
      <c r="I37" s="3" t="s">
        <v>11</v>
      </c>
      <c r="J37" s="2" t="s">
        <v>9</v>
      </c>
      <c r="K37" s="2" t="s">
        <v>6</v>
      </c>
      <c r="L37" s="2" t="s">
        <v>9</v>
      </c>
      <c r="M37" s="2" t="s">
        <v>11</v>
      </c>
      <c r="N37" s="3" t="s">
        <v>11</v>
      </c>
      <c r="O37" s="3" t="s">
        <v>11</v>
      </c>
      <c r="P37" s="3" t="s">
        <v>7</v>
      </c>
      <c r="Q37" s="3" t="s">
        <v>6</v>
      </c>
    </row>
    <row r="38" spans="1:17" x14ac:dyDescent="0.3">
      <c r="A38" s="1" t="s">
        <v>45</v>
      </c>
      <c r="B38" s="2" t="s">
        <v>11</v>
      </c>
      <c r="C38" s="2" t="s">
        <v>8</v>
      </c>
      <c r="D38" s="2" t="s">
        <v>11</v>
      </c>
      <c r="E38" s="2" t="s">
        <v>7</v>
      </c>
      <c r="F38" s="3" t="s">
        <v>7</v>
      </c>
      <c r="G38" s="3" t="s">
        <v>6</v>
      </c>
      <c r="H38" s="3" t="s">
        <v>9</v>
      </c>
      <c r="I38" s="3" t="s">
        <v>7</v>
      </c>
      <c r="J38" s="2" t="s">
        <v>8</v>
      </c>
      <c r="K38" s="2" t="s">
        <v>9</v>
      </c>
      <c r="L38" s="2" t="s">
        <v>9</v>
      </c>
      <c r="M38" s="2" t="s">
        <v>6</v>
      </c>
      <c r="N38" s="3" t="s">
        <v>7</v>
      </c>
      <c r="O38" s="3" t="s">
        <v>6</v>
      </c>
      <c r="P38" s="3" t="s">
        <v>8</v>
      </c>
      <c r="Q38" s="3" t="s">
        <v>11</v>
      </c>
    </row>
    <row r="39" spans="1:17" x14ac:dyDescent="0.3">
      <c r="A39" s="1" t="s">
        <v>46</v>
      </c>
      <c r="B39" s="2" t="s">
        <v>11</v>
      </c>
      <c r="C39" s="2" t="s">
        <v>8</v>
      </c>
      <c r="D39" s="2" t="s">
        <v>11</v>
      </c>
      <c r="E39" s="2" t="s">
        <v>7</v>
      </c>
      <c r="F39" s="3" t="s">
        <v>11</v>
      </c>
      <c r="G39" s="3" t="s">
        <v>11</v>
      </c>
      <c r="H39" s="3" t="s">
        <v>9</v>
      </c>
      <c r="I39" s="3" t="s">
        <v>8</v>
      </c>
      <c r="J39" s="2" t="s">
        <v>7</v>
      </c>
      <c r="K39" s="2" t="s">
        <v>6</v>
      </c>
      <c r="L39" s="2" t="s">
        <v>9</v>
      </c>
      <c r="M39" s="2" t="s">
        <v>8</v>
      </c>
      <c r="N39" s="3" t="s">
        <v>7</v>
      </c>
      <c r="O39" s="3" t="s">
        <v>6</v>
      </c>
      <c r="P39" s="3" t="s">
        <v>9</v>
      </c>
      <c r="Q39" s="3" t="s">
        <v>8</v>
      </c>
    </row>
    <row r="40" spans="1:17" x14ac:dyDescent="0.3">
      <c r="A40" s="1" t="s">
        <v>47</v>
      </c>
      <c r="B40" s="2" t="s">
        <v>9</v>
      </c>
      <c r="C40" s="2" t="s">
        <v>8</v>
      </c>
      <c r="D40" s="2" t="s">
        <v>9</v>
      </c>
      <c r="E40" s="2" t="s">
        <v>6</v>
      </c>
      <c r="F40" s="3" t="s">
        <v>7</v>
      </c>
      <c r="G40" s="3" t="s">
        <v>6</v>
      </c>
      <c r="H40" s="3" t="s">
        <v>9</v>
      </c>
      <c r="I40" s="3" t="s">
        <v>8</v>
      </c>
      <c r="J40" s="2" t="s">
        <v>7</v>
      </c>
      <c r="K40" s="2" t="s">
        <v>11</v>
      </c>
      <c r="L40" s="2" t="s">
        <v>11</v>
      </c>
      <c r="M40" s="2" t="s">
        <v>11</v>
      </c>
      <c r="N40" s="3" t="s">
        <v>7</v>
      </c>
      <c r="O40" s="3" t="s">
        <v>6</v>
      </c>
      <c r="P40" s="3" t="s">
        <v>9</v>
      </c>
      <c r="Q40" s="3" t="s">
        <v>8</v>
      </c>
    </row>
    <row r="41" spans="1:17" x14ac:dyDescent="0.3">
      <c r="A41" s="1" t="s">
        <v>48</v>
      </c>
      <c r="B41" s="2" t="s">
        <v>11</v>
      </c>
      <c r="C41" s="2" t="s">
        <v>9</v>
      </c>
      <c r="D41" s="2" t="s">
        <v>7</v>
      </c>
      <c r="E41" s="2" t="s">
        <v>6</v>
      </c>
      <c r="F41" s="3" t="s">
        <v>7</v>
      </c>
      <c r="G41" s="3" t="s">
        <v>9</v>
      </c>
      <c r="H41" s="3" t="s">
        <v>7</v>
      </c>
      <c r="I41" s="3" t="s">
        <v>11</v>
      </c>
      <c r="J41" s="2" t="s">
        <v>9</v>
      </c>
      <c r="K41" s="2" t="s">
        <v>6</v>
      </c>
      <c r="L41" s="2" t="s">
        <v>11</v>
      </c>
      <c r="M41" s="2" t="s">
        <v>11</v>
      </c>
      <c r="N41" s="3" t="s">
        <v>11</v>
      </c>
      <c r="O41" s="3" t="s">
        <v>8</v>
      </c>
      <c r="P41" s="3" t="s">
        <v>11</v>
      </c>
      <c r="Q41" s="3" t="s">
        <v>11</v>
      </c>
    </row>
    <row r="42" spans="1:17" x14ac:dyDescent="0.3">
      <c r="A42" s="1" t="s">
        <v>49</v>
      </c>
      <c r="B42" s="2" t="s">
        <v>11</v>
      </c>
      <c r="C42" s="2" t="s">
        <v>8</v>
      </c>
      <c r="D42" s="2" t="s">
        <v>11</v>
      </c>
      <c r="E42" s="2" t="s">
        <v>11</v>
      </c>
      <c r="F42" s="3" t="s">
        <v>8</v>
      </c>
      <c r="G42" s="3" t="s">
        <v>9</v>
      </c>
      <c r="H42" s="3" t="s">
        <v>7</v>
      </c>
      <c r="I42" s="3" t="s">
        <v>8</v>
      </c>
      <c r="J42" s="2" t="s">
        <v>6</v>
      </c>
      <c r="K42" s="2" t="s">
        <v>8</v>
      </c>
      <c r="L42" s="2" t="s">
        <v>11</v>
      </c>
      <c r="M42" s="2" t="s">
        <v>7</v>
      </c>
      <c r="N42" s="3" t="s">
        <v>7</v>
      </c>
      <c r="O42" s="3" t="s">
        <v>11</v>
      </c>
      <c r="P42" s="3" t="s">
        <v>9</v>
      </c>
      <c r="Q42" s="3" t="s">
        <v>8</v>
      </c>
    </row>
    <row r="43" spans="1:17" x14ac:dyDescent="0.3">
      <c r="A43" s="1" t="s">
        <v>50</v>
      </c>
      <c r="B43" s="2" t="s">
        <v>9</v>
      </c>
      <c r="C43" s="2" t="s">
        <v>9</v>
      </c>
      <c r="D43" s="2" t="s">
        <v>7</v>
      </c>
      <c r="E43" s="2" t="s">
        <v>8</v>
      </c>
      <c r="F43" s="3" t="s">
        <v>8</v>
      </c>
      <c r="G43" s="3" t="s">
        <v>6</v>
      </c>
      <c r="H43" s="3" t="s">
        <v>11</v>
      </c>
      <c r="I43" s="3" t="s">
        <v>6</v>
      </c>
      <c r="J43" s="2" t="s">
        <v>9</v>
      </c>
      <c r="K43" s="2" t="s">
        <v>11</v>
      </c>
      <c r="L43" s="2" t="s">
        <v>11</v>
      </c>
      <c r="M43" s="2" t="s">
        <v>6</v>
      </c>
      <c r="N43" s="3" t="s">
        <v>9</v>
      </c>
      <c r="O43" s="3" t="s">
        <v>8</v>
      </c>
      <c r="P43" s="3" t="s">
        <v>9</v>
      </c>
      <c r="Q43" s="3" t="s">
        <v>7</v>
      </c>
    </row>
    <row r="44" spans="1:17" x14ac:dyDescent="0.3">
      <c r="A44" s="1" t="s">
        <v>51</v>
      </c>
      <c r="B44" s="2" t="s">
        <v>9</v>
      </c>
      <c r="C44" s="2" t="s">
        <v>8</v>
      </c>
      <c r="D44" s="2" t="s">
        <v>11</v>
      </c>
      <c r="E44" s="2" t="s">
        <v>7</v>
      </c>
      <c r="F44" s="3" t="s">
        <v>8</v>
      </c>
      <c r="G44" s="3" t="s">
        <v>6</v>
      </c>
      <c r="H44" s="3" t="s">
        <v>9</v>
      </c>
      <c r="I44" s="3" t="s">
        <v>11</v>
      </c>
      <c r="J44" s="2" t="s">
        <v>11</v>
      </c>
      <c r="K44" s="2" t="s">
        <v>11</v>
      </c>
      <c r="L44" s="2" t="s">
        <v>9</v>
      </c>
      <c r="M44" s="2" t="s">
        <v>11</v>
      </c>
      <c r="N44" s="3" t="s">
        <v>11</v>
      </c>
      <c r="O44" s="3" t="s">
        <v>6</v>
      </c>
      <c r="P44" s="3" t="s">
        <v>9</v>
      </c>
      <c r="Q44" s="3" t="s">
        <v>8</v>
      </c>
    </row>
    <row r="45" spans="1:17" x14ac:dyDescent="0.3">
      <c r="A45" s="1" t="s">
        <v>52</v>
      </c>
      <c r="B45" s="2" t="s">
        <v>11</v>
      </c>
      <c r="C45" s="2" t="s">
        <v>6</v>
      </c>
      <c r="D45" s="2" t="s">
        <v>9</v>
      </c>
      <c r="E45" s="2" t="s">
        <v>11</v>
      </c>
      <c r="F45" s="3" t="s">
        <v>7</v>
      </c>
      <c r="G45" s="3" t="s">
        <v>8</v>
      </c>
      <c r="H45" s="3" t="s">
        <v>11</v>
      </c>
      <c r="I45" s="3" t="s">
        <v>11</v>
      </c>
      <c r="J45" s="2" t="s">
        <v>11</v>
      </c>
      <c r="K45" s="2" t="s">
        <v>11</v>
      </c>
      <c r="L45" s="2" t="s">
        <v>11</v>
      </c>
      <c r="M45" s="2" t="s">
        <v>8</v>
      </c>
      <c r="N45" s="3" t="s">
        <v>7</v>
      </c>
      <c r="O45" s="3" t="s">
        <v>11</v>
      </c>
      <c r="P45" s="3" t="s">
        <v>11</v>
      </c>
      <c r="Q45" s="3" t="s">
        <v>8</v>
      </c>
    </row>
    <row r="46" spans="1:17" x14ac:dyDescent="0.3">
      <c r="A46" s="1" t="s">
        <v>53</v>
      </c>
      <c r="B46" s="2" t="s">
        <v>7</v>
      </c>
      <c r="C46" s="2" t="s">
        <v>9</v>
      </c>
      <c r="D46" s="2" t="s">
        <v>6</v>
      </c>
      <c r="E46" s="2" t="s">
        <v>11</v>
      </c>
      <c r="F46" s="3" t="s">
        <v>11</v>
      </c>
      <c r="G46" s="3" t="s">
        <v>9</v>
      </c>
      <c r="H46" s="3" t="s">
        <v>9</v>
      </c>
      <c r="I46" s="3" t="s">
        <v>7</v>
      </c>
      <c r="J46" s="2" t="s">
        <v>11</v>
      </c>
      <c r="K46" s="2" t="s">
        <v>8</v>
      </c>
      <c r="L46" s="2" t="s">
        <v>11</v>
      </c>
      <c r="M46" s="2" t="s">
        <v>11</v>
      </c>
      <c r="N46" s="3" t="s">
        <v>7</v>
      </c>
      <c r="O46" s="3" t="s">
        <v>11</v>
      </c>
      <c r="P46" s="3" t="s">
        <v>6</v>
      </c>
      <c r="Q46" s="3" t="s">
        <v>8</v>
      </c>
    </row>
    <row r="47" spans="1:17" x14ac:dyDescent="0.3">
      <c r="A47" s="1" t="s">
        <v>63</v>
      </c>
      <c r="B47" s="2" t="s">
        <v>11</v>
      </c>
      <c r="C47" s="2" t="s">
        <v>8</v>
      </c>
      <c r="D47" s="2" t="s">
        <v>7</v>
      </c>
      <c r="E47" s="2" t="s">
        <v>6</v>
      </c>
      <c r="F47" s="3" t="s">
        <v>8</v>
      </c>
      <c r="G47" s="3" t="s">
        <v>6</v>
      </c>
      <c r="H47" s="3" t="s">
        <v>9</v>
      </c>
      <c r="I47" s="3" t="s">
        <v>11</v>
      </c>
      <c r="J47" s="2" t="s">
        <v>7</v>
      </c>
      <c r="K47" s="2" t="s">
        <v>11</v>
      </c>
      <c r="L47" s="2" t="s">
        <v>9</v>
      </c>
      <c r="M47" s="2" t="s">
        <v>11</v>
      </c>
      <c r="N47" s="3" t="s">
        <v>11</v>
      </c>
      <c r="O47" s="3" t="s">
        <v>11</v>
      </c>
      <c r="P47" s="3" t="s">
        <v>11</v>
      </c>
      <c r="Q47" s="3" t="s">
        <v>11</v>
      </c>
    </row>
    <row r="48" spans="1:17" x14ac:dyDescent="0.3">
      <c r="A48" s="1" t="s">
        <v>54</v>
      </c>
      <c r="B48" s="2" t="s">
        <v>9</v>
      </c>
      <c r="C48" s="2" t="s">
        <v>11</v>
      </c>
      <c r="D48" s="2" t="s">
        <v>11</v>
      </c>
      <c r="E48" s="2" t="s">
        <v>7</v>
      </c>
      <c r="F48" s="3" t="s">
        <v>7</v>
      </c>
      <c r="G48" s="3" t="s">
        <v>6</v>
      </c>
      <c r="H48" s="3" t="s">
        <v>9</v>
      </c>
      <c r="I48" s="3" t="s">
        <v>11</v>
      </c>
      <c r="J48" s="2" t="s">
        <v>11</v>
      </c>
      <c r="K48" s="2" t="s">
        <v>11</v>
      </c>
      <c r="L48" s="2" t="s">
        <v>11</v>
      </c>
      <c r="M48" s="2" t="s">
        <v>11</v>
      </c>
      <c r="N48" s="3" t="s">
        <v>11</v>
      </c>
      <c r="O48" s="3" t="s">
        <v>8</v>
      </c>
      <c r="P48" s="3" t="s">
        <v>9</v>
      </c>
      <c r="Q48" s="3" t="s">
        <v>11</v>
      </c>
    </row>
    <row r="49" spans="1:17" x14ac:dyDescent="0.3">
      <c r="A49" s="1" t="s">
        <v>62</v>
      </c>
      <c r="B49" s="2" t="s">
        <v>8</v>
      </c>
      <c r="C49" s="2" t="s">
        <v>9</v>
      </c>
      <c r="D49" s="2" t="s">
        <v>9</v>
      </c>
      <c r="E49" s="2" t="s">
        <v>11</v>
      </c>
      <c r="F49" s="3" t="s">
        <v>11</v>
      </c>
      <c r="G49" s="3" t="s">
        <v>8</v>
      </c>
      <c r="H49" s="3" t="s">
        <v>7</v>
      </c>
      <c r="I49" s="3" t="s">
        <v>8</v>
      </c>
      <c r="J49" s="2" t="s">
        <v>11</v>
      </c>
      <c r="K49" s="2" t="s">
        <v>6</v>
      </c>
      <c r="L49" s="2" t="s">
        <v>11</v>
      </c>
      <c r="M49" s="2" t="s">
        <v>11</v>
      </c>
      <c r="N49" s="3" t="s">
        <v>7</v>
      </c>
      <c r="O49" s="3" t="s">
        <v>11</v>
      </c>
      <c r="P49" s="3" t="s">
        <v>9</v>
      </c>
      <c r="Q49" s="3" t="s">
        <v>11</v>
      </c>
    </row>
    <row r="50" spans="1:17" x14ac:dyDescent="0.3">
      <c r="A50" s="1" t="s">
        <v>61</v>
      </c>
      <c r="B50" s="2" t="s">
        <v>7</v>
      </c>
      <c r="C50" s="2" t="s">
        <v>6</v>
      </c>
      <c r="D50" s="2" t="s">
        <v>9</v>
      </c>
      <c r="E50" s="2" t="s">
        <v>7</v>
      </c>
      <c r="F50" s="3" t="s">
        <v>9</v>
      </c>
      <c r="G50" s="3" t="s">
        <v>9</v>
      </c>
      <c r="H50" s="3" t="s">
        <v>11</v>
      </c>
      <c r="I50" s="3" t="s">
        <v>11</v>
      </c>
      <c r="J50" s="2" t="s">
        <v>11</v>
      </c>
      <c r="K50" s="2" t="s">
        <v>11</v>
      </c>
      <c r="L50" s="2" t="s">
        <v>9</v>
      </c>
      <c r="M50" s="2" t="s">
        <v>11</v>
      </c>
      <c r="N50" s="3" t="s">
        <v>11</v>
      </c>
      <c r="O50" s="3" t="s">
        <v>8</v>
      </c>
      <c r="P50" s="3" t="s">
        <v>7</v>
      </c>
      <c r="Q50" s="3" t="s">
        <v>11</v>
      </c>
    </row>
    <row r="51" spans="1:17" x14ac:dyDescent="0.3">
      <c r="A51" s="1" t="s">
        <v>55</v>
      </c>
      <c r="B51" s="2" t="s">
        <v>11</v>
      </c>
      <c r="C51" s="2" t="s">
        <v>8</v>
      </c>
      <c r="D51" s="2" t="s">
        <v>6</v>
      </c>
      <c r="E51" s="2" t="s">
        <v>8</v>
      </c>
      <c r="F51" s="3" t="s">
        <v>8</v>
      </c>
      <c r="G51" s="3" t="s">
        <v>11</v>
      </c>
      <c r="H51" s="3" t="s">
        <v>9</v>
      </c>
      <c r="I51" s="3" t="s">
        <v>7</v>
      </c>
      <c r="J51" s="2" t="s">
        <v>9</v>
      </c>
      <c r="K51" s="2" t="s">
        <v>11</v>
      </c>
      <c r="L51" s="2" t="s">
        <v>11</v>
      </c>
      <c r="M51" s="2" t="s">
        <v>11</v>
      </c>
      <c r="N51" s="3" t="s">
        <v>11</v>
      </c>
      <c r="O51" s="3" t="s">
        <v>6</v>
      </c>
      <c r="P51" s="3" t="s">
        <v>9</v>
      </c>
      <c r="Q51" s="3" t="s">
        <v>7</v>
      </c>
    </row>
    <row r="52" spans="1:17" x14ac:dyDescent="0.3">
      <c r="A52" s="1" t="s">
        <v>56</v>
      </c>
      <c r="B52" s="2" t="s">
        <v>9</v>
      </c>
      <c r="C52" s="2" t="s">
        <v>9</v>
      </c>
      <c r="D52" s="2" t="s">
        <v>11</v>
      </c>
      <c r="E52" s="2" t="s">
        <v>7</v>
      </c>
      <c r="F52" s="3" t="s">
        <v>11</v>
      </c>
      <c r="G52" s="3" t="s">
        <v>6</v>
      </c>
      <c r="H52" s="3" t="s">
        <v>11</v>
      </c>
      <c r="I52" s="3" t="s">
        <v>11</v>
      </c>
      <c r="J52" s="2" t="s">
        <v>11</v>
      </c>
      <c r="K52" s="2" t="s">
        <v>8</v>
      </c>
      <c r="L52" s="2" t="s">
        <v>11</v>
      </c>
      <c r="M52" s="2" t="s">
        <v>11</v>
      </c>
      <c r="N52" s="3" t="s">
        <v>7</v>
      </c>
      <c r="O52" s="3" t="s">
        <v>11</v>
      </c>
      <c r="P52" s="3" t="s">
        <v>11</v>
      </c>
      <c r="Q52" s="3" t="s">
        <v>11</v>
      </c>
    </row>
    <row r="53" spans="1:17" x14ac:dyDescent="0.3">
      <c r="A53" s="1" t="s">
        <v>60</v>
      </c>
      <c r="B53" s="2" t="s">
        <v>11</v>
      </c>
      <c r="C53" s="2" t="s">
        <v>6</v>
      </c>
      <c r="D53" s="2" t="s">
        <v>7</v>
      </c>
      <c r="E53" s="2" t="s">
        <v>11</v>
      </c>
      <c r="F53" s="3" t="s">
        <v>7</v>
      </c>
      <c r="G53" s="3" t="s">
        <v>9</v>
      </c>
      <c r="H53" s="3" t="s">
        <v>9</v>
      </c>
      <c r="I53" s="3" t="s">
        <v>11</v>
      </c>
      <c r="J53" s="2" t="s">
        <v>11</v>
      </c>
      <c r="K53" s="2" t="s">
        <v>11</v>
      </c>
      <c r="L53" s="2" t="s">
        <v>9</v>
      </c>
      <c r="M53" s="2" t="s">
        <v>11</v>
      </c>
      <c r="N53" s="3" t="s">
        <v>11</v>
      </c>
      <c r="O53" s="3" t="s">
        <v>11</v>
      </c>
      <c r="P53" s="3" t="s">
        <v>9</v>
      </c>
      <c r="Q53" s="3" t="s">
        <v>11</v>
      </c>
    </row>
  </sheetData>
  <mergeCells count="6">
    <mergeCell ref="A1:Q1"/>
    <mergeCell ref="F2:I2"/>
    <mergeCell ref="A2:A3"/>
    <mergeCell ref="B2:E2"/>
    <mergeCell ref="J2:M2"/>
    <mergeCell ref="N2:Q2"/>
  </mergeCells>
  <conditionalFormatting sqref="B4:Q53">
    <cfRule type="expression" dxfId="2" priority="1">
      <formula>B4="✓"</formula>
    </cfRule>
    <cfRule type="expression" dxfId="1" priority="2">
      <formula>B4="Doğru"</formula>
    </cfRule>
    <cfRule type="expression" dxfId="0" priority="3">
      <formula>AND(B4&lt;&gt;"",B4&lt;&gt;"✓",B4&lt;&gt;"Doğru")</formula>
    </cfRule>
  </conditionalFormatting>
  <dataValidations count="1">
    <dataValidation type="list" allowBlank="1" errorTitle="Geçersiz giriş" error="Sadece ✓, İpek, Pamuk, Yün veya Kot girin." promptTitle="Giriş" prompt="Doğruysa ✓ yaz veya listeden seç. Yanlışsa kullanıcının dediği kumaşı gir." sqref="B4:Q53" xr:uid="{00000000-0002-0000-0000-000000000000}">
      <formula1>"✓,İpek,Pamuk,Yün,Kot"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0"/>
  <sheetViews>
    <sheetView workbookViewId="0">
      <selection sqref="A1:E1"/>
    </sheetView>
  </sheetViews>
  <sheetFormatPr defaultRowHeight="14.4" x14ac:dyDescent="0.3"/>
  <cols>
    <col min="1" max="5" width="16" customWidth="1"/>
  </cols>
  <sheetData>
    <row r="1" spans="1:5" ht="15.9" customHeight="1" x14ac:dyDescent="0.3">
      <c r="A1" s="54" t="s">
        <v>57</v>
      </c>
      <c r="B1" s="53"/>
      <c r="C1" s="53"/>
      <c r="D1" s="53"/>
      <c r="E1" s="53"/>
    </row>
    <row r="2" spans="1:5" x14ac:dyDescent="0.3">
      <c r="A2" s="4" t="s">
        <v>58</v>
      </c>
      <c r="B2" s="4" t="s">
        <v>6</v>
      </c>
      <c r="C2" s="4" t="s">
        <v>7</v>
      </c>
      <c r="D2" s="4" t="s">
        <v>8</v>
      </c>
      <c r="E2" s="4" t="s">
        <v>9</v>
      </c>
    </row>
    <row r="3" spans="1:5" x14ac:dyDescent="0.3">
      <c r="A3" s="5" t="s">
        <v>2</v>
      </c>
      <c r="B3" s="6">
        <f>IF(COUNTA('Veri Girişi'!B4:B53)=0,"",(COUNTIF('Veri Girişi'!B4:B53,"✓")+COUNTIF('Veri Girişi'!B4:B53,"Doğru"))/COUNTA('Veri Girişi'!B4:B53))</f>
        <v>0.46</v>
      </c>
      <c r="C3" s="6">
        <f>IF(COUNTA('Veri Girişi'!C4:C53)=0,"",(COUNTIF('Veri Girişi'!C4:C53,"✓")+COUNTIF('Veri Girişi'!C4:C53,"Doğru"))/COUNTA('Veri Girişi'!C4:C53))</f>
        <v>0.18</v>
      </c>
      <c r="D3" s="6">
        <f>IF(COUNTA('Veri Girişi'!D4:D53)=0,"",(COUNTIF('Veri Girişi'!D4:D53,"✓")+COUNTIF('Veri Girişi'!D4:D53,"Doğru"))/COUNTA('Veri Girişi'!D4:D53))</f>
        <v>0.28000000000000003</v>
      </c>
      <c r="E3" s="6">
        <f>IF(COUNTA('Veri Girişi'!E4:E53)=0,"",(COUNTIF('Veri Girişi'!E4:E53,"✓")+COUNTIF('Veri Girişi'!E4:E53,"Doğru"))/COUNTA('Veri Girişi'!E4:E53))</f>
        <v>0.38</v>
      </c>
    </row>
    <row r="4" spans="1:5" ht="12" customHeight="1" x14ac:dyDescent="0.3">
      <c r="A4" s="5" t="s">
        <v>3</v>
      </c>
      <c r="B4" s="42">
        <f>IF(COUNTA('Veri Girişi'!F4:F53)=0,"",(COUNTIF('Veri Girişi'!F4:F53,"✓")+COUNTIF('Veri Girişi'!F4:F53,"Doğru"))/COUNTA('Veri Girişi'!F4:F53))</f>
        <v>0.3</v>
      </c>
      <c r="C4" s="42">
        <f>IF(COUNTA('Veri Girişi'!G4:G53)=0,"",(COUNTIF('Veri Girişi'!G4:G53,"✓")+COUNTIF('Veri Girişi'!G4:G53,"Doğru"))/COUNTA('Veri Girişi'!G4:G53))</f>
        <v>0.18</v>
      </c>
      <c r="D4" s="42">
        <f>IF(COUNTA('Veri Girişi'!H4:H53)=0,"",(COUNTIF('Veri Girişi'!H4:H53,"✓")+COUNTIF('Veri Girişi'!H4:H53,"Doğru"))/COUNTA('Veri Girişi'!H4:H53))</f>
        <v>0.2</v>
      </c>
      <c r="E4" s="42">
        <f>IF(COUNTA('Veri Girişi'!I4:I53)=0,"",(COUNTIF('Veri Girişi'!I4:I53,"✓")+COUNTIF('Veri Girişi'!I4:I53,"Doğru"))/COUNTA('Veri Girişi'!I4:I53))</f>
        <v>0.6</v>
      </c>
    </row>
    <row r="5" spans="1:5" ht="12" customHeight="1" x14ac:dyDescent="0.3">
      <c r="A5" s="41" t="s">
        <v>4</v>
      </c>
      <c r="B5" s="44">
        <f>IF(COUNTA('Veri Girişi'!J4:J53)=0,"",(COUNTIF('Veri Girişi'!J4:J53,"✓")+COUNTIF('Veri Girişi'!J4:J53,"Doğru"))/COUNTA('Veri Girişi'!J4:J53))</f>
        <v>0.57999999999999996</v>
      </c>
      <c r="C5" s="45">
        <f>IF(COUNTA('Veri Girişi'!K4:K53)=0,"",(COUNTIF('Veri Girişi'!K4:K53,"✓")+COUNTIF('Veri Girişi'!K4:K53,"Doğru"))/COUNTA('Veri Girişi'!K4:K53))</f>
        <v>0.54</v>
      </c>
      <c r="D5" s="45">
        <f>IF(COUNTA('Veri Girişi'!L4:L53)=0,"",(COUNTIF('Veri Girişi'!L4:L53,"✓")+COUNTIF('Veri Girişi'!L4:L53,"Doğru"))/COUNTA('Veri Girişi'!L4:L53))</f>
        <v>0.44</v>
      </c>
      <c r="E5" s="46">
        <f>IF(COUNTA('Veri Girişi'!M4:M53)=0,"",(COUNTIF('Veri Girişi'!M4:M53,"✓")+COUNTIF('Veri Girişi'!M4:M53,"Doğru"))/COUNTA('Veri Girişi'!M4:M53))</f>
        <v>0.68</v>
      </c>
    </row>
    <row r="6" spans="1:5" x14ac:dyDescent="0.3">
      <c r="A6" s="5" t="s">
        <v>5</v>
      </c>
      <c r="B6" s="43">
        <f>IF(COUNTA('Veri Girişi'!N4:N53)=0,"",(COUNTIF('Veri Girişi'!N4:N53,"✓")+COUNTIF('Veri Girişi'!N4:N53,"Doğru"))/COUNTA('Veri Girişi'!N4:N53))</f>
        <v>0.5</v>
      </c>
      <c r="C6" s="43">
        <f>IF(COUNTA('Veri Girişi'!O4:O53)=0,"",(COUNTIF('Veri Girişi'!O4:O53,"✓")+COUNTIF('Veri Girişi'!O4:O53,"Doğru"))/COUNTA('Veri Girişi'!O4:O53))</f>
        <v>0.44</v>
      </c>
      <c r="D6" s="43">
        <f>IF(COUNTA('Veri Girişi'!P4:P53)=0,"",(COUNTIF('Veri Girişi'!P4:P53,"✓")+COUNTIF('Veri Girişi'!P4:P53,"Doğru"))/COUNTA('Veri Girişi'!P4:P53))</f>
        <v>0.24</v>
      </c>
      <c r="E6" s="43">
        <f>IF(COUNTA('Veri Girişi'!Q4:Q53)=0,"",(COUNTIF('Veri Girişi'!Q4:Q53,"✓")+COUNTIF('Veri Girişi'!Q4:Q53,"Doğru"))/COUNTA('Veri Girişi'!Q4:Q53))</f>
        <v>0.66</v>
      </c>
    </row>
    <row r="7" spans="1:5" x14ac:dyDescent="0.3">
      <c r="A7" s="7"/>
      <c r="B7" s="7"/>
      <c r="C7" s="7"/>
      <c r="D7" s="7"/>
      <c r="E7" s="7"/>
    </row>
    <row r="8" spans="1:5" x14ac:dyDescent="0.3">
      <c r="A8" s="8" t="s">
        <v>59</v>
      </c>
      <c r="B8" s="9">
        <f>IF((COUNTA('Veri Girişi'!B4:B53)+COUNTA('Veri Girişi'!F4:F53)+COUNTA('Veri Girişi'!J4:J53)+COUNTA('Veri Girişi'!N4:N53))=0,"",(COUNTIF('Veri Girişi'!B4:B53,"✓")+COUNTIF('Veri Girişi'!B4:B53,"Doğru")+COUNTIF('Veri Girişi'!F4:F53,"✓")+COUNTIF('Veri Girişi'!F4:F53,"Doğru")+COUNTIF('Veri Girişi'!J4:J53,"✓")+COUNTIF('Veri Girişi'!J4:J53,"Doğru")+COUNTIF('Veri Girişi'!N4:N53,"✓")+COUNTIF('Veri Girişi'!N4:N53,"Doğru"))/(COUNTA('Veri Girişi'!B4:B53)+COUNTA('Veri Girişi'!F4:F53)+COUNTA('Veri Girişi'!J4:J53)+COUNTA('Veri Girişi'!N4:N53)))</f>
        <v>0.46</v>
      </c>
      <c r="C8" s="9">
        <f>IF((COUNTA('Veri Girişi'!C4:C53)+COUNTA('Veri Girişi'!G4:G53)+COUNTA('Veri Girişi'!K4:K53)+COUNTA('Veri Girişi'!O4:O53))=0,"",(COUNTIF('Veri Girişi'!C4:C53,"✓")+COUNTIF('Veri Girişi'!C4:C53,"Doğru")+COUNTIF('Veri Girişi'!G4:G53,"✓")+COUNTIF('Veri Girişi'!G4:G53,"Doğru")+COUNTIF('Veri Girişi'!K4:K53,"✓")+COUNTIF('Veri Girişi'!K4:K53,"Doğru")+COUNTIF('Veri Girişi'!O4:O53,"✓")+COUNTIF('Veri Girişi'!O4:O53,"Doğru"))/(COUNTA('Veri Girişi'!C4:C53)+COUNTA('Veri Girişi'!G4:G53)+COUNTA('Veri Girişi'!K4:K53)+COUNTA('Veri Girişi'!O4:O53)))</f>
        <v>0.33500000000000002</v>
      </c>
      <c r="D8" s="9">
        <f>IF((COUNTA('Veri Girişi'!D4:D53)+COUNTA('Veri Girişi'!H4:H53)+COUNTA('Veri Girişi'!L4:L53)+COUNTA('Veri Girişi'!P4:P53))=0,"",(COUNTIF('Veri Girişi'!D4:D53,"✓")+COUNTIF('Veri Girişi'!D4:D53,"Doğru")+COUNTIF('Veri Girişi'!H4:H53,"✓")+COUNTIF('Veri Girişi'!H4:H53,"Doğru")+COUNTIF('Veri Girişi'!L4:L53,"✓")+COUNTIF('Veri Girişi'!L4:L53,"Doğru")+COUNTIF('Veri Girişi'!P4:P53,"✓")+COUNTIF('Veri Girişi'!P4:P53,"Doğru"))/(COUNTA('Veri Girişi'!D4:D53)+COUNTA('Veri Girişi'!H4:H53)+COUNTA('Veri Girişi'!L4:L53)+COUNTA('Veri Girişi'!P4:P53)))</f>
        <v>0.28999999999999998</v>
      </c>
      <c r="E8" s="9">
        <f>IF((COUNTA('Veri Girişi'!E4:E53)+COUNTA('Veri Girişi'!I4:I53)+COUNTA('Veri Girişi'!M4:M53)+COUNTA('Veri Girişi'!Q4:Q53))=0,"",(COUNTIF('Veri Girişi'!E4:E53,"✓")+COUNTIF('Veri Girişi'!E4:E53,"Doğru")+COUNTIF('Veri Girişi'!I4:I53,"✓")+COUNTIF('Veri Girişi'!I4:I53,"Doğru")+COUNTIF('Veri Girişi'!M4:M53,"✓")+COUNTIF('Veri Girişi'!M4:M53,"Doğru")+COUNTIF('Veri Girişi'!Q4:Q53,"✓")+COUNTIF('Veri Girişi'!Q4:Q53,"Doğru"))/(COUNTA('Veri Girişi'!E4:E53)+COUNTA('Veri Girişi'!I4:I53)+COUNTA('Veri Girişi'!M4:M53)+COUNTA('Veri Girişi'!Q4:Q53)))</f>
        <v>0.57999999999999996</v>
      </c>
    </row>
    <row r="10" spans="1:5" x14ac:dyDescent="0.3">
      <c r="A10" s="10"/>
      <c r="B10" s="11"/>
    </row>
  </sheetData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2</vt:i4>
      </vt:variant>
    </vt:vector>
  </HeadingPairs>
  <TitlesOfParts>
    <vt:vector size="2" baseType="lpstr">
      <vt:lpstr>Veri Girişi</vt:lpstr>
      <vt:lpstr>Özet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cem ceylani</cp:lastModifiedBy>
  <dcterms:modified xsi:type="dcterms:W3CDTF">2026-04-13T12:04:42Z</dcterms:modified>
</cp:coreProperties>
</file>